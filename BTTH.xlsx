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2751739A-D8A7-DA4D-B7E4-731EFC798D40}" xr6:coauthVersionLast="47" xr6:coauthVersionMax="47" xr10:uidLastSave="{00000000-0000-0000-0000-000000000000}"/>
  <bookViews>
    <workbookView xWindow="0" yWindow="0" windowWidth="28800" windowHeight="18000" xr2:uid="{1267F74A-F792-1B49-B727-05C28B6AE11F}"/>
  </bookViews>
  <sheets>
    <sheet name="BTTH5" sheetId="1" r:id="rId1"/>
    <sheet name="BTTH" sheetId="2" r:id="rId2"/>
  </sheets>
  <definedNames>
    <definedName name="_xlnm._FilterDatabase" localSheetId="1" hidden="1">BTTH!$G$1:$G$122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O8" i="2"/>
  <c r="O6" i="2"/>
  <c r="F103" i="2"/>
  <c r="K2" i="2"/>
  <c r="I5" i="2"/>
  <c r="I90" i="2"/>
  <c r="I94" i="2"/>
  <c r="H3" i="2"/>
  <c r="I3" i="2" s="1"/>
  <c r="H4" i="2"/>
  <c r="I4" i="2" s="1"/>
  <c r="H5" i="2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H91" i="2"/>
  <c r="I91" i="2" s="1"/>
  <c r="H92" i="2"/>
  <c r="I92" i="2" s="1"/>
  <c r="H93" i="2"/>
  <c r="I93" i="2" s="1"/>
  <c r="H94" i="2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2" i="2"/>
  <c r="I2" i="2" s="1"/>
  <c r="J3" i="1" l="1"/>
  <c r="J4" i="1"/>
  <c r="J5" i="1"/>
  <c r="J6" i="1"/>
  <c r="N6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2" i="1"/>
  <c r="N5" i="1" l="1"/>
  <c r="N2" i="1"/>
  <c r="N4" i="1"/>
  <c r="N3" i="1"/>
  <c r="L4" i="1"/>
  <c r="L3" i="1"/>
  <c r="L2" i="1"/>
  <c r="L6" i="1"/>
  <c r="L5" i="1"/>
</calcChain>
</file>

<file path=xl/sharedStrings.xml><?xml version="1.0" encoding="utf-8"?>
<sst xmlns="http://schemas.openxmlformats.org/spreadsheetml/2006/main" count="1081" uniqueCount="318">
  <si>
    <t>Mã đơn hàng</t>
  </si>
  <si>
    <t>Ngày bán</t>
  </si>
  <si>
    <t>Nhân viên bán hàng</t>
  </si>
  <si>
    <t>Khu vực</t>
  </si>
  <si>
    <t>Tên sản phẩm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</si>
  <si>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</si>
  <si>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</si>
  <si>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</si>
  <si>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</si>
  <si>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</si>
  <si>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</si>
  <si>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</si>
  <si>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</si>
  <si>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</si>
  <si>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</si>
  <si>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</si>
  <si>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</si>
  <si>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</si>
  <si>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</si>
  <si>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</si>
  <si>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</si>
  <si>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</si>
  <si>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</si>
  <si>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</si>
  <si>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</si>
  <si>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</si>
  <si>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</si>
  <si>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</si>
  <si>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</si>
  <si>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</si>
  <si>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</si>
  <si>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</si>
  <si>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</si>
  <si>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</si>
  <si>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</si>
  <si>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</si>
  <si>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</si>
  <si>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</si>
  <si>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</si>
  <si>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</si>
  <si>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</si>
  <si>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</si>
  <si>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</si>
  <si>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</si>
  <si>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</si>
  <si>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</si>
  <si>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</si>
  <si>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</si>
  <si>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</si>
  <si>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</si>
  <si>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</si>
  <si>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</si>
  <si>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</si>
  <si>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</si>
  <si>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</si>
  <si>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</si>
  <si>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</si>
  <si>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</si>
  <si>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</si>
  <si>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</si>
  <si>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</si>
  <si>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</si>
  <si>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</si>
  <si>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</si>
  <si>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</si>
  <si>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</si>
  <si>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</si>
  <si>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</si>
  <si>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</si>
  <si>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</si>
  <si>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</si>
  <si>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</si>
  <si>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</si>
  <si>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</si>
  <si>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</si>
  <si>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</si>
  <si>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</si>
  <si>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</si>
  <si>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</si>
  <si>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</si>
  <si>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</si>
  <si>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</si>
  <si>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</si>
  <si>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</si>
  <si>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</si>
  <si>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</si>
  <si>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</si>
  <si>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</si>
  <si>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</si>
  <si>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</si>
  <si>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</si>
  <si>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</si>
  <si>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</si>
  <si>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</si>
  <si>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</si>
  <si>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</si>
  <si>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</si>
  <si>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</si>
  <si>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</si>
  <si>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</si>
  <si>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</si>
  <si>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</si>
  <si>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</si>
  <si>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</si>
  <si>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</si>
  <si>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</si>
  <si>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</si>
  <si>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</si>
  <si>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</si>
  <si>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</si>
  <si>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</si>
  <si>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</si>
  <si>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</si>
  <si>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</si>
  <si>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</si>
  <si>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</si>
  <si>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</si>
  <si>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</si>
  <si>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</si>
  <si>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</si>
  <si>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</si>
  <si>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</si>
  <si>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</si>
  <si>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</si>
  <si>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</si>
  <si>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</si>
  <si>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</si>
  <si>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</si>
  <si>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</si>
  <si>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</si>
  <si>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</si>
  <si>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</si>
  <si>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</si>
  <si>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</si>
  <si>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</si>
  <si>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</si>
  <si>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</si>
  <si>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</si>
  <si>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</si>
  <si>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</si>
  <si>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</si>
  <si>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</si>
  <si>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</si>
  <si>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</si>
  <si>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</si>
  <si>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</si>
  <si>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</si>
  <si>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</si>
  <si>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</si>
  <si>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</si>
  <si>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</si>
  <si>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</si>
  <si>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</si>
  <si>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</si>
  <si>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</si>
  <si>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</si>
  <si>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</si>
  <si>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</si>
  <si>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</si>
  <si>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</si>
  <si>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</si>
  <si>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</si>
  <si>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</si>
  <si>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</si>
  <si>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</si>
  <si>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</si>
  <si>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</si>
  <si>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</si>
  <si>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>Chưa xác định</t>
  </si>
  <si>
    <t>Doanh thu</t>
  </si>
  <si>
    <t>Column9</t>
  </si>
  <si>
    <t>Mã đơn hàng2</t>
  </si>
  <si>
    <t>Khu vực2</t>
  </si>
  <si>
    <t>Nhân viên bán hàng2</t>
  </si>
  <si>
    <t>KQ</t>
  </si>
  <si>
    <t>Nhân viên bán hàng3</t>
  </si>
  <si>
    <t>Order_ID</t>
  </si>
  <si>
    <t>Customer_Info</t>
  </si>
  <si>
    <t>Order_Value</t>
  </si>
  <si>
    <t>Voucher</t>
  </si>
  <si>
    <t>Shipping_Fee</t>
  </si>
  <si>
    <t>Status</t>
  </si>
  <si>
    <t>ORD-1001</t>
  </si>
  <si>
    <t>VIP</t>
  </si>
  <si>
    <t>Hoàn thành</t>
  </si>
  <si>
    <t>ORD-1002</t>
  </si>
  <si>
    <t>NORMAL</t>
  </si>
  <si>
    <t>Đã hủy</t>
  </si>
  <si>
    <t>ORD-1003</t>
  </si>
  <si>
    <t>Đang giao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</si>
  <si>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</si>
  <si>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</si>
  <si>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</si>
  <si>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</si>
  <si>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</si>
  <si>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</si>
  <si>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</si>
  <si>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</si>
  <si>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</si>
  <si>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</si>
  <si>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</si>
  <si>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</si>
  <si>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</si>
  <si>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</si>
  <si>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</si>
  <si>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</si>
  <si>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</si>
  <si>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</si>
  <si>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</si>
  <si>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</si>
  <si>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</si>
  <si>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</si>
  <si>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</si>
  <si>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</si>
  <si>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</si>
  <si>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</si>
  <si>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</si>
  <si>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</si>
  <si>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</si>
  <si>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</si>
  <si>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</si>
  <si>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</si>
  <si>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</si>
  <si>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</si>
  <si>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</si>
  <si>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</si>
  <si>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</si>
  <si>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</si>
  <si>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</si>
  <si>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</si>
  <si>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</si>
  <si>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</si>
  <si>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</si>
  <si>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</si>
  <si>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</si>
  <si>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</si>
  <si>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</si>
  <si>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</si>
  <si>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</si>
  <si>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</si>
  <si>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</si>
  <si>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</si>
  <si>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</si>
  <si>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</si>
  <si>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</si>
  <si>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</si>
  <si>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</si>
  <si>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</si>
  <si>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</si>
  <si>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</si>
  <si>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</si>
  <si>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</si>
  <si>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</si>
  <si>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</si>
  <si>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</si>
  <si>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</si>
  <si>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</si>
  <si>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</si>
  <si>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</si>
  <si>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</si>
  <si>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</si>
  <si>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</si>
  <si>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</si>
  <si>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</si>
  <si>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</si>
  <si>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</si>
  <si>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</si>
  <si>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</si>
  <si>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</si>
  <si>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</si>
  <si>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</si>
  <si>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</si>
  <si>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</si>
  <si>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</si>
  <si>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</si>
  <si>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</si>
  <si>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</si>
  <si>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</si>
  <si>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</si>
  <si>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</si>
  <si>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</si>
  <si>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</si>
  <si>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</si>
  <si>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</si>
  <si>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</si>
  <si>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</si>
  <si>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</si>
  <si>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 xml:space="preserve">Trần Văn A </t>
  </si>
  <si>
    <t xml:space="preserve">Nguyễn Thị B </t>
  </si>
  <si>
    <t xml:space="preserve">Lê Văn C </t>
  </si>
  <si>
    <t xml:space="preserve">Phạm Minh D </t>
  </si>
  <si>
    <t xml:space="preserve">Hoàng Lan E </t>
  </si>
  <si>
    <t xml:space="preserve">Vũ Văn F </t>
  </si>
  <si>
    <t xml:space="preserve">Đặng Thu G </t>
  </si>
  <si>
    <t xml:space="preserve">Bùi Tiến H </t>
  </si>
  <si>
    <t xml:space="preserve">Ngô Bảo I </t>
  </si>
  <si>
    <t xml:space="preserve">Lý Hải J </t>
  </si>
  <si>
    <t xml:space="preserve">Trịnh Kim K </t>
  </si>
  <si>
    <t xml:space="preserve">Mai Văn L </t>
  </si>
  <si>
    <t xml:space="preserve">Đào Thị M </t>
  </si>
  <si>
    <t xml:space="preserve">Đoàn Văn N </t>
  </si>
  <si>
    <t xml:space="preserve">Phan Thanh O </t>
  </si>
  <si>
    <t xml:space="preserve">Lâm Mỹ P </t>
  </si>
  <si>
    <t xml:space="preserve">Hà Văn Q </t>
  </si>
  <si>
    <t xml:space="preserve">Tô Thị R </t>
  </si>
  <si>
    <t xml:space="preserve">Diệp Văn S </t>
  </si>
  <si>
    <t xml:space="preserve">Quách Anh T </t>
  </si>
  <si>
    <t xml:space="preserve">Vương Văn U </t>
  </si>
  <si>
    <t xml:space="preserve">Tạ Thị V </t>
  </si>
  <si>
    <t xml:space="preserve">Lương Văn X </t>
  </si>
  <si>
    <t xml:space="preserve">Thân Văn Y </t>
  </si>
  <si>
    <t xml:space="preserve">Hứa Thị Z </t>
  </si>
  <si>
    <t>Chiết khấu</t>
  </si>
  <si>
    <t>Doanh thu thuần</t>
  </si>
  <si>
    <t>Tổng phí ship phải trả:</t>
  </si>
  <si>
    <t>tổng số đơn hàng:</t>
  </si>
  <si>
    <t>số đơn hàng "Hoàn thành":</t>
  </si>
  <si>
    <t>Tỷ lệ: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</si>
</sst>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10000]d/m/yyyy;@"/>
  </numFmts>
  <fonts count="10" x14ac:knownFonts="1">
    <font>
      <sz val="12"/>
      <color theme="1"/>
      <name val="Aptos Narrow"/>
      <family val="2"/>
      <scheme val="minor"/>
    </font>
    <font>
      <b/>
      <sz val="13"/>
      <color rgb="FF1A1C1E"/>
      <name val="Arial"/>
      <family val="2"/>
    </font>
    <font>
      <sz val="12"/>
      <color theme="1"/>
      <name val="Aptos Narrow"/>
      <scheme val="minor"/>
    </font>
    <font>
      <sz val="13"/>
      <color rgb="FF1A1C1E"/>
      <name val="Arial"/>
      <family val="2"/>
    </font>
    <font>
      <b/>
      <sz val="12"/>
      <color rgb="FF1A1C1E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8" fontId="1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0" fontId="4" fillId="0" borderId="0" xfId="0" applyFont="1"/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7" fillId="0" borderId="0" xfId="0" applyNumberFormat="1" applyFont="1"/>
    <xf numFmtId="1" fontId="0" fillId="0" borderId="0" xfId="0" applyNumberFormat="1"/>
    <xf numFmtId="0" fontId="9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numFmt numFmtId="168" formatCode="[$-1010000]d/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9D588-4191-C74B-8F8D-0A33248D95C3}" name="Table1" displayName="Table1" ref="A1:N132" totalsRowShown="0" headerRowDxfId="9">
  <autoFilter ref="A1:N132" xr:uid="{90B9D588-4191-C74B-8F8D-0A33248D95C3}"/>
  <tableColumns count="14">
    <tableColumn id="1" xr3:uid="{E2823CA1-07EB-CF4B-A134-0CD58486DC8D}" name="Mã đơn hàng"/>
    <tableColumn id="2" xr3:uid="{070E51F3-67DF-3147-87FA-A536C049E1A0}" name="Ngày bán" dataDxfId="11"/>
    <tableColumn id="3" xr3:uid="{E5EF31C0-086B-DD41-9582-F02C204FC8C0}" name="Nhân viên bán hàng"/>
    <tableColumn id="4" xr3:uid="{940D91E2-4013-4C40-9A78-82634D816FEA}" name="Khu vực" dataDxfId="10"/>
    <tableColumn id="5" xr3:uid="{A3CBC633-CBF7-5447-927B-162A5954F0F9}" name="Tên sản phẩm"/>
    <tableColumn id="6" xr3:uid="{190F2FC0-9C6A-FB47-94D5-32598B258DE1}" name="Mã đơn hàng2"/>
    <tableColumn id="7" xr3:uid="{45CCB2D1-27D2-B044-B5F1-4132DE7B63B0}" name="Đơn giá"/>
    <tableColumn id="8" xr3:uid="{D2917D07-4FF5-1B4C-8563-A07ED55439A9}" name="Ghi chú"/>
    <tableColumn id="9" xr3:uid="{15432F51-B9E4-FB46-8E2E-32AA464E16CF}" name="Column9"/>
    <tableColumn id="10" xr3:uid="{105D3B45-4604-164E-8DD1-E0878692CA24}" name="Doanh thu"/>
    <tableColumn id="11" xr3:uid="{FEA3BC93-73FD-1147-8337-3511BB532751}" name="Khu vực2"/>
    <tableColumn id="12" xr3:uid="{8222CC1D-821F-AB44-A695-C5D49538C0A3}" name="KQ" dataDxfId="8">
      <calculatedColumnFormula>SUMIF($D$2:$D132,K2,$J$2:$J132)</calculatedColumnFormula>
    </tableColumn>
    <tableColumn id="13" xr3:uid="{344047EA-7406-7C44-A681-2034B307A8D0}" name="Nhân viên bán hàng2"/>
    <tableColumn id="14" xr3:uid="{DC8B0E87-3469-DC40-81BD-5FCF3348ADD6}" name="Nhân viên bán hàng3" dataDxfId="7">
      <calculatedColumnFormula>SUMIF($C$2:$C$132,M2,$J$2:$J$132)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80E5-1977-824E-A72E-D55F1033D44D}">
  <dimension ref="A1:N132"/>
  <sheetViews>
    <sheetView tabSelected="1" topLeftCell="B1" workbookViewId="0">
      <selection activeCell="N14" sqref="N14"/>
    </sheetView>
  </sheetViews>
  <sheetFormatPr baseColWidth="10" defaultRowHeight="16" x14ac:dyDescent="0.2"/>
  <cols>
    <col min="1" max="1" width="17.33203125" customWidth="1"/>
    <col min="2" max="2" width="17.5" style="6" customWidth="1"/>
    <col min="3" max="3" width="22.33203125" customWidth="1"/>
    <col min="4" max="4" width="17.6640625" customWidth="1"/>
    <col min="5" max="5" width="33" customWidth="1"/>
    <col min="6" max="6" width="12.83203125" customWidth="1"/>
    <col min="7" max="7" width="13" customWidth="1"/>
    <col min="8" max="8" width="12.83203125" customWidth="1"/>
    <col min="9" max="9" width="19.33203125" customWidth="1"/>
    <col min="10" max="10" width="13.1640625" customWidth="1"/>
    <col min="11" max="11" width="14.83203125" customWidth="1"/>
    <col min="12" max="12" width="13.1640625" customWidth="1"/>
    <col min="13" max="13" width="22.5" customWidth="1"/>
  </cols>
  <sheetData>
    <row r="1" spans="1:14" ht="17" x14ac:dyDescent="0.2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171</v>
      </c>
      <c r="G1" s="1" t="s">
        <v>5</v>
      </c>
      <c r="H1" s="1" t="s">
        <v>6</v>
      </c>
      <c r="I1" s="2" t="s">
        <v>170</v>
      </c>
      <c r="J1" s="7" t="s">
        <v>169</v>
      </c>
      <c r="K1" s="1" t="s">
        <v>172</v>
      </c>
      <c r="L1" s="1" t="s">
        <v>174</v>
      </c>
      <c r="M1" s="1" t="s">
        <v>173</v>
      </c>
      <c r="N1" s="1" t="s">
        <v>175</v>
      </c>
    </row>
    <row r="2" spans="1:14" ht="17" x14ac:dyDescent="0.2">
      <c r="A2" s="3" t="s">
        <v>7</v>
      </c>
      <c r="B2" s="5">
        <v>44958</v>
      </c>
      <c r="C2" s="3" t="s">
        <v>8</v>
      </c>
      <c r="D2" s="3" t="s">
        <v>9</v>
      </c>
      <c r="E2" s="3" t="s">
        <v>10</v>
      </c>
      <c r="F2" s="2"/>
      <c r="G2" s="3">
        <v>25000000</v>
      </c>
      <c r="H2" s="3" t="s">
        <v>11</v>
      </c>
      <c r="I2" s="2" t="s">
        <v>8</v>
      </c>
      <c r="J2">
        <f>F2*G2</f>
        <v>0</v>
      </c>
      <c r="K2" s="3" t="s">
        <v>9</v>
      </c>
      <c r="L2">
        <f>SUMIF($D$2:$D132,K2,$J$2:$J132)</f>
        <v>171602250</v>
      </c>
      <c r="M2" s="3" t="s">
        <v>8</v>
      </c>
      <c r="N2">
        <f t="shared" ref="N2:N33" si="0">SUMIF($C$2:$C$132,M2,$J$2:$J$132)</f>
        <v>171602250</v>
      </c>
    </row>
    <row r="3" spans="1:14" ht="17" x14ac:dyDescent="0.2">
      <c r="A3" s="3" t="s">
        <v>12</v>
      </c>
      <c r="B3" s="5">
        <v>44986</v>
      </c>
      <c r="C3" s="3" t="s">
        <v>13</v>
      </c>
      <c r="D3" s="3" t="s">
        <v>14</v>
      </c>
      <c r="E3" s="3" t="s">
        <v>15</v>
      </c>
      <c r="F3" s="3">
        <v>2</v>
      </c>
      <c r="G3" s="3">
        <v>1800000</v>
      </c>
      <c r="H3" s="2"/>
      <c r="I3" s="2" t="s">
        <v>13</v>
      </c>
      <c r="J3">
        <f t="shared" ref="J3:J66" si="1">F3*G3</f>
        <v>3600000</v>
      </c>
      <c r="K3" s="3" t="s">
        <v>14</v>
      </c>
      <c r="L3">
        <f>SUMIF($D$2:$D132,K3,$J$2:$J132)</f>
        <v>326405400</v>
      </c>
      <c r="M3" s="3" t="s">
        <v>13</v>
      </c>
      <c r="N3">
        <f t="shared" si="0"/>
        <v>143403150</v>
      </c>
    </row>
    <row r="4" spans="1:14" ht="17" x14ac:dyDescent="0.2">
      <c r="A4" s="3" t="s">
        <v>16</v>
      </c>
      <c r="B4" s="5">
        <v>44986</v>
      </c>
      <c r="C4" s="3" t="s">
        <v>17</v>
      </c>
      <c r="D4" s="3" t="s">
        <v>18</v>
      </c>
      <c r="E4" s="3" t="s">
        <v>19</v>
      </c>
      <c r="F4" s="3">
        <v>1</v>
      </c>
      <c r="G4" s="3">
        <v>2200000</v>
      </c>
      <c r="H4" s="3" t="s">
        <v>20</v>
      </c>
      <c r="I4" s="2" t="s">
        <v>17</v>
      </c>
      <c r="J4">
        <f t="shared" si="1"/>
        <v>2200000</v>
      </c>
      <c r="K4" s="3" t="s">
        <v>18</v>
      </c>
      <c r="L4">
        <f>SUMIF($D$2:$D132,K4,$J$2:$J132)</f>
        <v>184704050</v>
      </c>
      <c r="M4" s="3" t="s">
        <v>17</v>
      </c>
      <c r="N4">
        <f t="shared" si="0"/>
        <v>184704050</v>
      </c>
    </row>
    <row r="5" spans="1:14" ht="17" x14ac:dyDescent="0.2">
      <c r="A5" s="3" t="s">
        <v>21</v>
      </c>
      <c r="B5" s="5">
        <v>45017</v>
      </c>
      <c r="C5" s="3" t="s">
        <v>22</v>
      </c>
      <c r="D5" s="3" t="s">
        <v>168</v>
      </c>
      <c r="E5" s="3" t="s">
        <v>23</v>
      </c>
      <c r="F5" s="2"/>
      <c r="G5" s="3">
        <v>6500000</v>
      </c>
      <c r="H5" s="2"/>
      <c r="I5" s="2" t="s">
        <v>22</v>
      </c>
      <c r="J5">
        <f t="shared" si="1"/>
        <v>0</v>
      </c>
      <c r="K5" s="3" t="s">
        <v>14</v>
      </c>
      <c r="L5">
        <f>SUMIF($D$2:$D132,K5,$J$2:$J132)</f>
        <v>326405400</v>
      </c>
      <c r="M5" s="3" t="s">
        <v>22</v>
      </c>
      <c r="N5">
        <f t="shared" si="0"/>
        <v>167702700</v>
      </c>
    </row>
    <row r="6" spans="1:14" ht="17" x14ac:dyDescent="0.2">
      <c r="A6" s="3" t="s">
        <v>24</v>
      </c>
      <c r="B6" s="5">
        <v>45047</v>
      </c>
      <c r="C6" s="3" t="s">
        <v>25</v>
      </c>
      <c r="D6" s="3" t="s">
        <v>14</v>
      </c>
      <c r="E6" s="3" t="s">
        <v>26</v>
      </c>
      <c r="F6" s="3">
        <v>3</v>
      </c>
      <c r="G6" s="3">
        <v>2500000</v>
      </c>
      <c r="H6" s="3" t="s">
        <v>27</v>
      </c>
      <c r="I6" s="2" t="s">
        <v>25</v>
      </c>
      <c r="J6">
        <f t="shared" si="1"/>
        <v>7500000</v>
      </c>
      <c r="K6" s="3" t="s">
        <v>168</v>
      </c>
      <c r="L6">
        <f>SUMIF($D$2:$D132,K6,$J$2:$J132)</f>
        <v>167702700</v>
      </c>
      <c r="M6" s="3" t="s">
        <v>25</v>
      </c>
      <c r="N6">
        <f t="shared" si="0"/>
        <v>183002250</v>
      </c>
    </row>
    <row r="7" spans="1:14" ht="17" x14ac:dyDescent="0.2">
      <c r="A7" s="3" t="s">
        <v>28</v>
      </c>
      <c r="B7" s="5">
        <v>45047</v>
      </c>
      <c r="C7" s="3" t="s">
        <v>8</v>
      </c>
      <c r="D7" s="3" t="s">
        <v>9</v>
      </c>
      <c r="E7" s="3" t="s">
        <v>29</v>
      </c>
      <c r="F7" s="3">
        <v>1</v>
      </c>
      <c r="G7" s="3">
        <v>7500000</v>
      </c>
      <c r="H7" s="2"/>
      <c r="I7" s="2" t="s">
        <v>8</v>
      </c>
      <c r="J7">
        <f t="shared" si="1"/>
        <v>7500000</v>
      </c>
    </row>
    <row r="8" spans="1:14" ht="17" x14ac:dyDescent="0.2">
      <c r="A8" s="3" t="s">
        <v>30</v>
      </c>
      <c r="B8" s="5">
        <v>45078</v>
      </c>
      <c r="C8" s="3" t="s">
        <v>13</v>
      </c>
      <c r="D8" s="3" t="s">
        <v>14</v>
      </c>
      <c r="E8" s="3" t="s">
        <v>10</v>
      </c>
      <c r="F8" s="3">
        <v>1</v>
      </c>
      <c r="G8" s="3">
        <v>25000000</v>
      </c>
      <c r="H8" s="2"/>
      <c r="I8" s="2" t="s">
        <v>13</v>
      </c>
      <c r="J8">
        <f t="shared" si="1"/>
        <v>25000000</v>
      </c>
    </row>
    <row r="9" spans="1:14" ht="17" x14ac:dyDescent="0.2">
      <c r="A9" s="3" t="s">
        <v>31</v>
      </c>
      <c r="B9" s="5">
        <v>45108</v>
      </c>
      <c r="C9" s="3" t="s">
        <v>17</v>
      </c>
      <c r="D9" s="3" t="s">
        <v>18</v>
      </c>
      <c r="E9" s="3" t="s">
        <v>15</v>
      </c>
      <c r="F9" s="3">
        <v>1</v>
      </c>
      <c r="G9" s="3">
        <v>1800000</v>
      </c>
      <c r="H9" s="2"/>
      <c r="I9" s="2" t="s">
        <v>17</v>
      </c>
      <c r="J9">
        <f t="shared" si="1"/>
        <v>1800000</v>
      </c>
    </row>
    <row r="10" spans="1:14" ht="17" x14ac:dyDescent="0.2">
      <c r="A10" s="3" t="s">
        <v>32</v>
      </c>
      <c r="B10" s="5">
        <v>45139</v>
      </c>
      <c r="C10" s="3" t="s">
        <v>22</v>
      </c>
      <c r="D10" s="3" t="s">
        <v>168</v>
      </c>
      <c r="E10" s="3" t="s">
        <v>19</v>
      </c>
      <c r="F10" s="3">
        <v>2</v>
      </c>
      <c r="G10" s="3">
        <v>2200000</v>
      </c>
      <c r="H10" s="2"/>
      <c r="I10" s="2" t="s">
        <v>22</v>
      </c>
      <c r="J10">
        <f t="shared" si="1"/>
        <v>4400000</v>
      </c>
    </row>
    <row r="11" spans="1:14" ht="17" x14ac:dyDescent="0.2">
      <c r="A11" s="3" t="s">
        <v>33</v>
      </c>
      <c r="B11" s="5">
        <v>45139</v>
      </c>
      <c r="C11" s="3" t="s">
        <v>25</v>
      </c>
      <c r="D11" s="3" t="s">
        <v>14</v>
      </c>
      <c r="E11" s="3" t="s">
        <v>23</v>
      </c>
      <c r="F11" s="3">
        <v>1</v>
      </c>
      <c r="G11" s="3">
        <v>6500000</v>
      </c>
      <c r="H11" s="2"/>
      <c r="I11" s="2" t="s">
        <v>25</v>
      </c>
      <c r="J11">
        <f t="shared" si="1"/>
        <v>6500000</v>
      </c>
    </row>
    <row r="12" spans="1:14" ht="17" x14ac:dyDescent="0.2">
      <c r="A12" s="3" t="s">
        <v>34</v>
      </c>
      <c r="B12" s="5">
        <v>45170</v>
      </c>
      <c r="C12" s="3" t="s">
        <v>8</v>
      </c>
      <c r="D12" s="3" t="s">
        <v>9</v>
      </c>
      <c r="E12" s="3" t="s">
        <v>26</v>
      </c>
      <c r="F12" s="3">
        <v>1</v>
      </c>
      <c r="G12" s="3">
        <v>2500000</v>
      </c>
      <c r="H12" s="3" t="s">
        <v>35</v>
      </c>
      <c r="I12" s="2" t="s">
        <v>8</v>
      </c>
      <c r="J12">
        <f t="shared" si="1"/>
        <v>2500000</v>
      </c>
    </row>
    <row r="13" spans="1:14" ht="17" x14ac:dyDescent="0.2">
      <c r="A13" s="3" t="s">
        <v>36</v>
      </c>
      <c r="B13" s="5">
        <v>45200</v>
      </c>
      <c r="C13" s="3" t="s">
        <v>13</v>
      </c>
      <c r="D13" s="3" t="s">
        <v>14</v>
      </c>
      <c r="E13" s="3" t="s">
        <v>29</v>
      </c>
      <c r="F13" s="2"/>
      <c r="G13" s="3">
        <v>7500000</v>
      </c>
      <c r="H13" s="2"/>
      <c r="I13" s="2" t="s">
        <v>13</v>
      </c>
      <c r="J13">
        <f t="shared" si="1"/>
        <v>0</v>
      </c>
    </row>
    <row r="14" spans="1:14" ht="17" x14ac:dyDescent="0.2">
      <c r="A14" s="3" t="s">
        <v>37</v>
      </c>
      <c r="B14" s="5">
        <v>45231</v>
      </c>
      <c r="C14" s="3" t="s">
        <v>17</v>
      </c>
      <c r="D14" s="3" t="s">
        <v>18</v>
      </c>
      <c r="E14" s="3" t="s">
        <v>10</v>
      </c>
      <c r="F14" s="3">
        <v>1</v>
      </c>
      <c r="G14" s="3">
        <v>25000000</v>
      </c>
      <c r="H14" s="2"/>
      <c r="I14" s="2" t="s">
        <v>17</v>
      </c>
      <c r="J14">
        <f t="shared" si="1"/>
        <v>25000000</v>
      </c>
    </row>
    <row r="15" spans="1:14" ht="17" x14ac:dyDescent="0.2">
      <c r="A15" s="3" t="s">
        <v>38</v>
      </c>
      <c r="B15" s="5">
        <v>45261</v>
      </c>
      <c r="C15" s="3" t="s">
        <v>22</v>
      </c>
      <c r="D15" s="3" t="s">
        <v>168</v>
      </c>
      <c r="E15" s="3" t="s">
        <v>39</v>
      </c>
      <c r="F15" s="3">
        <v>1</v>
      </c>
      <c r="G15" s="3">
        <v>1800000</v>
      </c>
      <c r="H15" s="2"/>
      <c r="I15" s="2" t="s">
        <v>22</v>
      </c>
      <c r="J15">
        <f t="shared" si="1"/>
        <v>1800000</v>
      </c>
    </row>
    <row r="16" spans="1:14" ht="17" x14ac:dyDescent="0.2">
      <c r="A16" s="3" t="s">
        <v>40</v>
      </c>
      <c r="B16" s="5">
        <v>45261</v>
      </c>
      <c r="C16" s="3" t="s">
        <v>25</v>
      </c>
      <c r="D16" s="3" t="s">
        <v>14</v>
      </c>
      <c r="E16" s="3" t="s">
        <v>19</v>
      </c>
      <c r="F16" s="3">
        <v>1</v>
      </c>
      <c r="G16" s="3">
        <v>2200000</v>
      </c>
      <c r="H16" s="3" t="s">
        <v>41</v>
      </c>
      <c r="I16" s="2" t="s">
        <v>25</v>
      </c>
      <c r="J16">
        <f t="shared" si="1"/>
        <v>2200000</v>
      </c>
    </row>
    <row r="17" spans="1:10" ht="17" x14ac:dyDescent="0.2">
      <c r="A17" s="3" t="s">
        <v>42</v>
      </c>
      <c r="B17" s="5">
        <v>44939</v>
      </c>
      <c r="C17" s="3" t="s">
        <v>8</v>
      </c>
      <c r="D17" s="3" t="s">
        <v>9</v>
      </c>
      <c r="E17" s="3" t="s">
        <v>23</v>
      </c>
      <c r="F17" s="3">
        <v>2</v>
      </c>
      <c r="G17" s="3">
        <v>6500000</v>
      </c>
      <c r="H17" s="2"/>
      <c r="I17" s="2" t="s">
        <v>8</v>
      </c>
      <c r="J17">
        <f t="shared" si="1"/>
        <v>13000000</v>
      </c>
    </row>
    <row r="18" spans="1:10" ht="17" x14ac:dyDescent="0.2">
      <c r="A18" s="3" t="s">
        <v>43</v>
      </c>
      <c r="B18" s="5">
        <v>44940</v>
      </c>
      <c r="C18" s="3" t="s">
        <v>13</v>
      </c>
      <c r="D18" s="3" t="s">
        <v>14</v>
      </c>
      <c r="E18" s="3" t="s">
        <v>26</v>
      </c>
      <c r="F18" s="3">
        <v>1</v>
      </c>
      <c r="G18" s="3">
        <v>2500000</v>
      </c>
      <c r="H18" s="2"/>
      <c r="I18" s="2" t="s">
        <v>13</v>
      </c>
      <c r="J18">
        <f t="shared" si="1"/>
        <v>2500000</v>
      </c>
    </row>
    <row r="19" spans="1:10" ht="17" x14ac:dyDescent="0.2">
      <c r="A19" s="3" t="s">
        <v>44</v>
      </c>
      <c r="B19" s="5">
        <v>44941</v>
      </c>
      <c r="C19" s="3" t="s">
        <v>17</v>
      </c>
      <c r="D19" s="3" t="s">
        <v>18</v>
      </c>
      <c r="E19" s="3" t="s">
        <v>29</v>
      </c>
      <c r="F19" s="3">
        <v>1</v>
      </c>
      <c r="G19" s="3">
        <v>7500000</v>
      </c>
      <c r="H19" s="2"/>
      <c r="I19" s="2" t="s">
        <v>17</v>
      </c>
      <c r="J19">
        <f t="shared" si="1"/>
        <v>7500000</v>
      </c>
    </row>
    <row r="20" spans="1:10" ht="17" x14ac:dyDescent="0.2">
      <c r="A20" s="3" t="s">
        <v>45</v>
      </c>
      <c r="B20" s="5">
        <v>44941</v>
      </c>
      <c r="C20" s="3" t="s">
        <v>22</v>
      </c>
      <c r="D20" s="3" t="s">
        <v>168</v>
      </c>
      <c r="E20" s="3" t="s">
        <v>46</v>
      </c>
      <c r="F20" s="3">
        <v>1</v>
      </c>
      <c r="G20" s="3">
        <v>25000000</v>
      </c>
      <c r="H20" s="2"/>
      <c r="I20" s="2" t="s">
        <v>22</v>
      </c>
      <c r="J20">
        <f t="shared" si="1"/>
        <v>25000000</v>
      </c>
    </row>
    <row r="21" spans="1:10" ht="17" x14ac:dyDescent="0.2">
      <c r="A21" s="3" t="s">
        <v>47</v>
      </c>
      <c r="B21" s="5">
        <v>44942</v>
      </c>
      <c r="C21" s="3" t="s">
        <v>25</v>
      </c>
      <c r="D21" s="3" t="s">
        <v>14</v>
      </c>
      <c r="E21" s="3" t="s">
        <v>15</v>
      </c>
      <c r="F21" s="3">
        <v>3</v>
      </c>
      <c r="G21" s="3">
        <v>1800000</v>
      </c>
      <c r="H21" s="2"/>
      <c r="I21" s="2" t="s">
        <v>25</v>
      </c>
      <c r="J21">
        <f t="shared" si="1"/>
        <v>5400000</v>
      </c>
    </row>
    <row r="22" spans="1:10" ht="17" x14ac:dyDescent="0.2">
      <c r="A22" s="3" t="s">
        <v>48</v>
      </c>
      <c r="B22" s="5">
        <v>44943</v>
      </c>
      <c r="C22" s="3" t="s">
        <v>8</v>
      </c>
      <c r="D22" s="3" t="s">
        <v>9</v>
      </c>
      <c r="E22" s="3" t="s">
        <v>19</v>
      </c>
      <c r="F22" s="3">
        <v>1</v>
      </c>
      <c r="G22" s="3">
        <v>2200000</v>
      </c>
      <c r="H22" s="2"/>
      <c r="I22" s="2" t="s">
        <v>8</v>
      </c>
      <c r="J22">
        <f t="shared" si="1"/>
        <v>2200000</v>
      </c>
    </row>
    <row r="23" spans="1:10" ht="17" x14ac:dyDescent="0.2">
      <c r="A23" s="3" t="s">
        <v>49</v>
      </c>
      <c r="B23" s="5">
        <v>44944</v>
      </c>
      <c r="C23" s="3" t="s">
        <v>13</v>
      </c>
      <c r="D23" s="3" t="s">
        <v>14</v>
      </c>
      <c r="E23" s="3" t="s">
        <v>23</v>
      </c>
      <c r="F23" s="3">
        <v>1</v>
      </c>
      <c r="G23" s="3">
        <v>6500000</v>
      </c>
      <c r="H23" s="3" t="s">
        <v>50</v>
      </c>
      <c r="I23" s="2" t="s">
        <v>13</v>
      </c>
      <c r="J23">
        <f t="shared" si="1"/>
        <v>6500000</v>
      </c>
    </row>
    <row r="24" spans="1:10" ht="17" x14ac:dyDescent="0.2">
      <c r="A24" s="3" t="s">
        <v>51</v>
      </c>
      <c r="B24" s="5">
        <v>44944</v>
      </c>
      <c r="C24" s="3" t="s">
        <v>17</v>
      </c>
      <c r="D24" s="3" t="s">
        <v>18</v>
      </c>
      <c r="E24" s="3" t="s">
        <v>26</v>
      </c>
      <c r="F24" s="3">
        <v>2</v>
      </c>
      <c r="G24" s="3">
        <v>2500000</v>
      </c>
      <c r="H24" s="2"/>
      <c r="I24" s="2" t="s">
        <v>17</v>
      </c>
      <c r="J24">
        <f t="shared" si="1"/>
        <v>5000000</v>
      </c>
    </row>
    <row r="25" spans="1:10" ht="17" x14ac:dyDescent="0.2">
      <c r="A25" s="3" t="s">
        <v>52</v>
      </c>
      <c r="B25" s="5">
        <v>44945</v>
      </c>
      <c r="C25" s="3" t="s">
        <v>22</v>
      </c>
      <c r="D25" s="3" t="s">
        <v>168</v>
      </c>
      <c r="E25" s="3" t="s">
        <v>29</v>
      </c>
      <c r="F25" s="3">
        <v>1</v>
      </c>
      <c r="G25" s="3">
        <v>7500000</v>
      </c>
      <c r="H25" s="2"/>
      <c r="I25" s="2" t="s">
        <v>22</v>
      </c>
      <c r="J25">
        <f t="shared" si="1"/>
        <v>7500000</v>
      </c>
    </row>
    <row r="26" spans="1:10" ht="17" x14ac:dyDescent="0.2">
      <c r="A26" s="3" t="s">
        <v>53</v>
      </c>
      <c r="B26" s="5">
        <v>44946</v>
      </c>
      <c r="C26" s="3" t="s">
        <v>25</v>
      </c>
      <c r="D26" s="3" t="s">
        <v>14</v>
      </c>
      <c r="E26" s="3" t="s">
        <v>10</v>
      </c>
      <c r="F26" s="3">
        <v>1</v>
      </c>
      <c r="G26" s="3">
        <v>25000000</v>
      </c>
      <c r="H26" s="2"/>
      <c r="I26" s="2" t="s">
        <v>25</v>
      </c>
      <c r="J26">
        <f t="shared" si="1"/>
        <v>25000000</v>
      </c>
    </row>
    <row r="27" spans="1:10" ht="17" x14ac:dyDescent="0.2">
      <c r="A27" s="3" t="s">
        <v>54</v>
      </c>
      <c r="B27" s="5">
        <v>44947</v>
      </c>
      <c r="C27" s="3" t="s">
        <v>8</v>
      </c>
      <c r="D27" s="3" t="s">
        <v>55</v>
      </c>
      <c r="E27" s="3" t="s">
        <v>15</v>
      </c>
      <c r="F27" s="3">
        <v>1</v>
      </c>
      <c r="G27" s="3">
        <v>1800000</v>
      </c>
      <c r="H27" s="2"/>
      <c r="I27" s="2" t="s">
        <v>8</v>
      </c>
      <c r="J27">
        <f t="shared" si="1"/>
        <v>1800000</v>
      </c>
    </row>
    <row r="28" spans="1:10" ht="17" x14ac:dyDescent="0.2">
      <c r="A28" s="3" t="s">
        <v>56</v>
      </c>
      <c r="B28" s="5">
        <v>44948</v>
      </c>
      <c r="C28" s="3" t="s">
        <v>13</v>
      </c>
      <c r="D28" s="3" t="s">
        <v>14</v>
      </c>
      <c r="E28" s="3" t="s">
        <v>19</v>
      </c>
      <c r="F28" s="3">
        <v>1</v>
      </c>
      <c r="G28" s="3">
        <v>2200000</v>
      </c>
      <c r="H28" s="2"/>
      <c r="I28" s="2" t="s">
        <v>13</v>
      </c>
      <c r="J28">
        <f t="shared" si="1"/>
        <v>2200000</v>
      </c>
    </row>
    <row r="29" spans="1:10" ht="17" x14ac:dyDescent="0.2">
      <c r="A29" s="3" t="s">
        <v>57</v>
      </c>
      <c r="B29" s="5">
        <v>44949</v>
      </c>
      <c r="C29" s="3" t="s">
        <v>17</v>
      </c>
      <c r="D29" s="3" t="s">
        <v>18</v>
      </c>
      <c r="E29" s="3" t="s">
        <v>23</v>
      </c>
      <c r="F29" s="3">
        <v>1</v>
      </c>
      <c r="G29" s="3">
        <v>6500000</v>
      </c>
      <c r="H29" s="2"/>
      <c r="I29" s="2" t="s">
        <v>17</v>
      </c>
      <c r="J29">
        <f t="shared" si="1"/>
        <v>6500000</v>
      </c>
    </row>
    <row r="30" spans="1:10" ht="17" x14ac:dyDescent="0.2">
      <c r="A30" s="3" t="s">
        <v>58</v>
      </c>
      <c r="B30" s="5">
        <v>44949</v>
      </c>
      <c r="C30" s="3" t="s">
        <v>22</v>
      </c>
      <c r="D30" s="3" t="s">
        <v>168</v>
      </c>
      <c r="E30" s="3" t="s">
        <v>26</v>
      </c>
      <c r="F30" s="3">
        <v>4</v>
      </c>
      <c r="G30" s="3">
        <v>2500000</v>
      </c>
      <c r="H30" s="2"/>
      <c r="I30" s="2" t="s">
        <v>22</v>
      </c>
      <c r="J30">
        <f t="shared" si="1"/>
        <v>10000000</v>
      </c>
    </row>
    <row r="31" spans="1:10" ht="17" x14ac:dyDescent="0.2">
      <c r="A31" s="3" t="s">
        <v>59</v>
      </c>
      <c r="B31" s="5">
        <v>44950</v>
      </c>
      <c r="C31" s="3" t="s">
        <v>25</v>
      </c>
      <c r="D31" s="3" t="s">
        <v>14</v>
      </c>
      <c r="E31" s="3" t="s">
        <v>29</v>
      </c>
      <c r="F31" s="3">
        <v>1</v>
      </c>
      <c r="G31" s="3">
        <v>7500000</v>
      </c>
      <c r="H31" s="2"/>
      <c r="I31" s="2" t="s">
        <v>25</v>
      </c>
      <c r="J31">
        <f t="shared" si="1"/>
        <v>7500000</v>
      </c>
    </row>
    <row r="32" spans="1:10" ht="17" x14ac:dyDescent="0.2">
      <c r="A32" s="3" t="s">
        <v>60</v>
      </c>
      <c r="B32" s="5">
        <v>44928</v>
      </c>
      <c r="C32" s="3" t="s">
        <v>8</v>
      </c>
      <c r="D32" s="3" t="s">
        <v>9</v>
      </c>
      <c r="E32" s="3" t="s">
        <v>61</v>
      </c>
      <c r="F32" s="3">
        <v>2</v>
      </c>
      <c r="G32" s="3">
        <v>2100000</v>
      </c>
      <c r="H32" s="2"/>
      <c r="I32" s="2" t="s">
        <v>8</v>
      </c>
      <c r="J32">
        <f t="shared" si="1"/>
        <v>4200000</v>
      </c>
    </row>
    <row r="33" spans="1:10" ht="17" x14ac:dyDescent="0.2">
      <c r="A33" s="3" t="s">
        <v>62</v>
      </c>
      <c r="B33" s="5">
        <v>44959</v>
      </c>
      <c r="C33" s="3" t="s">
        <v>13</v>
      </c>
      <c r="D33" s="3" t="s">
        <v>14</v>
      </c>
      <c r="E33" s="3" t="s">
        <v>63</v>
      </c>
      <c r="F33" s="3">
        <v>3</v>
      </c>
      <c r="G33" s="3">
        <v>450</v>
      </c>
      <c r="H33" s="2"/>
      <c r="I33" s="2" t="s">
        <v>13</v>
      </c>
      <c r="J33">
        <f t="shared" si="1"/>
        <v>1350</v>
      </c>
    </row>
    <row r="34" spans="1:10" ht="17" x14ac:dyDescent="0.2">
      <c r="A34" s="3" t="s">
        <v>64</v>
      </c>
      <c r="B34" s="5">
        <v>44959</v>
      </c>
      <c r="C34" s="3" t="s">
        <v>17</v>
      </c>
      <c r="D34" s="3" t="s">
        <v>18</v>
      </c>
      <c r="E34" s="3" t="s">
        <v>10</v>
      </c>
      <c r="F34" s="3">
        <v>1</v>
      </c>
      <c r="G34" s="3">
        <v>25000000</v>
      </c>
      <c r="H34" s="2"/>
      <c r="I34" s="2" t="s">
        <v>17</v>
      </c>
      <c r="J34">
        <f t="shared" si="1"/>
        <v>25000000</v>
      </c>
    </row>
    <row r="35" spans="1:10" ht="17" x14ac:dyDescent="0.2">
      <c r="A35" s="3" t="s">
        <v>65</v>
      </c>
      <c r="B35" s="5">
        <v>44987</v>
      </c>
      <c r="C35" s="3" t="s">
        <v>22</v>
      </c>
      <c r="D35" s="3" t="s">
        <v>168</v>
      </c>
      <c r="E35" s="3" t="s">
        <v>15</v>
      </c>
      <c r="F35" s="3">
        <v>1</v>
      </c>
      <c r="G35" s="3">
        <v>1800000</v>
      </c>
      <c r="H35" s="3" t="s">
        <v>27</v>
      </c>
      <c r="I35" s="2" t="s">
        <v>22</v>
      </c>
      <c r="J35">
        <f t="shared" si="1"/>
        <v>1800000</v>
      </c>
    </row>
    <row r="36" spans="1:10" ht="17" x14ac:dyDescent="0.2">
      <c r="A36" s="3" t="s">
        <v>66</v>
      </c>
      <c r="B36" s="5">
        <v>45018</v>
      </c>
      <c r="C36" s="3" t="s">
        <v>25</v>
      </c>
      <c r="D36" s="3" t="s">
        <v>14</v>
      </c>
      <c r="E36" s="3" t="s">
        <v>19</v>
      </c>
      <c r="F36" s="3">
        <v>1</v>
      </c>
      <c r="G36" s="3">
        <v>2200000</v>
      </c>
      <c r="H36" s="2"/>
      <c r="I36" s="2" t="s">
        <v>25</v>
      </c>
      <c r="J36">
        <f t="shared" si="1"/>
        <v>2200000</v>
      </c>
    </row>
    <row r="37" spans="1:10" ht="17" x14ac:dyDescent="0.2">
      <c r="A37" s="3" t="s">
        <v>67</v>
      </c>
      <c r="B37" s="5">
        <v>45048</v>
      </c>
      <c r="C37" s="3" t="s">
        <v>8</v>
      </c>
      <c r="D37" s="3" t="s">
        <v>9</v>
      </c>
      <c r="E37" s="3" t="s">
        <v>68</v>
      </c>
      <c r="F37" s="3">
        <v>1</v>
      </c>
      <c r="G37" s="3">
        <v>6500000</v>
      </c>
      <c r="H37" s="2"/>
      <c r="I37" s="2" t="s">
        <v>8</v>
      </c>
      <c r="J37">
        <f t="shared" si="1"/>
        <v>6500000</v>
      </c>
    </row>
    <row r="38" spans="1:10" ht="17" x14ac:dyDescent="0.2">
      <c r="A38" s="3" t="s">
        <v>69</v>
      </c>
      <c r="B38" s="5">
        <v>45048</v>
      </c>
      <c r="C38" s="3" t="s">
        <v>13</v>
      </c>
      <c r="D38" s="3" t="s">
        <v>14</v>
      </c>
      <c r="E38" s="3" t="s">
        <v>26</v>
      </c>
      <c r="F38" s="3">
        <v>2</v>
      </c>
      <c r="G38" s="3">
        <v>2500000</v>
      </c>
      <c r="H38" s="2"/>
      <c r="I38" s="2" t="s">
        <v>13</v>
      </c>
      <c r="J38">
        <f t="shared" si="1"/>
        <v>5000000</v>
      </c>
    </row>
    <row r="39" spans="1:10" ht="17" x14ac:dyDescent="0.2">
      <c r="A39" s="3" t="s">
        <v>70</v>
      </c>
      <c r="B39" s="5">
        <v>45079</v>
      </c>
      <c r="C39" s="3" t="s">
        <v>17</v>
      </c>
      <c r="D39" s="3" t="s">
        <v>18</v>
      </c>
      <c r="E39" s="3" t="s">
        <v>29</v>
      </c>
      <c r="F39" s="3">
        <v>1</v>
      </c>
      <c r="G39" s="3">
        <v>7500000</v>
      </c>
      <c r="H39" s="2"/>
      <c r="I39" s="2" t="s">
        <v>17</v>
      </c>
      <c r="J39">
        <f t="shared" si="1"/>
        <v>7500000</v>
      </c>
    </row>
    <row r="40" spans="1:10" ht="17" x14ac:dyDescent="0.2">
      <c r="A40" s="3" t="s">
        <v>71</v>
      </c>
      <c r="B40" s="5">
        <v>45109</v>
      </c>
      <c r="C40" s="3" t="s">
        <v>22</v>
      </c>
      <c r="D40" s="3" t="s">
        <v>168</v>
      </c>
      <c r="E40" s="3" t="s">
        <v>61</v>
      </c>
      <c r="F40" s="3">
        <v>1</v>
      </c>
      <c r="G40" s="3">
        <v>2100000</v>
      </c>
      <c r="H40" s="2"/>
      <c r="I40" s="2" t="s">
        <v>22</v>
      </c>
      <c r="J40">
        <f t="shared" si="1"/>
        <v>2100000</v>
      </c>
    </row>
    <row r="41" spans="1:10" ht="17" x14ac:dyDescent="0.2">
      <c r="A41" s="3" t="s">
        <v>72</v>
      </c>
      <c r="B41" s="5">
        <v>45140</v>
      </c>
      <c r="C41" s="3" t="s">
        <v>25</v>
      </c>
      <c r="D41" s="3" t="s">
        <v>14</v>
      </c>
      <c r="E41" s="3" t="s">
        <v>73</v>
      </c>
      <c r="F41" s="3">
        <v>5</v>
      </c>
      <c r="G41" s="3">
        <v>450</v>
      </c>
      <c r="H41" s="2"/>
      <c r="I41" s="2" t="s">
        <v>25</v>
      </c>
      <c r="J41">
        <f t="shared" si="1"/>
        <v>2250</v>
      </c>
    </row>
    <row r="42" spans="1:10" ht="17" x14ac:dyDescent="0.2">
      <c r="A42" s="3" t="s">
        <v>74</v>
      </c>
      <c r="B42" s="5">
        <v>45140</v>
      </c>
      <c r="C42" s="3" t="s">
        <v>8</v>
      </c>
      <c r="D42" s="3" t="s">
        <v>9</v>
      </c>
      <c r="E42" s="3" t="s">
        <v>10</v>
      </c>
      <c r="F42" s="3">
        <v>1</v>
      </c>
      <c r="G42" s="3">
        <v>25000000</v>
      </c>
      <c r="H42" s="2"/>
      <c r="I42" s="2" t="s">
        <v>8</v>
      </c>
      <c r="J42">
        <f t="shared" si="1"/>
        <v>25000000</v>
      </c>
    </row>
    <row r="43" spans="1:10" ht="17" x14ac:dyDescent="0.2">
      <c r="A43" s="3" t="s">
        <v>75</v>
      </c>
      <c r="B43" s="5">
        <v>45171</v>
      </c>
      <c r="C43" s="3" t="s">
        <v>13</v>
      </c>
      <c r="D43" s="3" t="s">
        <v>14</v>
      </c>
      <c r="E43" s="3" t="s">
        <v>15</v>
      </c>
      <c r="F43" s="3">
        <v>1</v>
      </c>
      <c r="G43" s="3">
        <v>1800000</v>
      </c>
      <c r="H43" s="2"/>
      <c r="I43" s="2" t="s">
        <v>13</v>
      </c>
      <c r="J43">
        <f t="shared" si="1"/>
        <v>1800000</v>
      </c>
    </row>
    <row r="44" spans="1:10" ht="17" x14ac:dyDescent="0.2">
      <c r="A44" s="3" t="s">
        <v>76</v>
      </c>
      <c r="B44" s="5">
        <v>45201</v>
      </c>
      <c r="C44" s="3" t="s">
        <v>17</v>
      </c>
      <c r="D44" s="3" t="s">
        <v>18</v>
      </c>
      <c r="E44" s="3" t="s">
        <v>19</v>
      </c>
      <c r="F44" s="2"/>
      <c r="G44" s="3">
        <v>2200000</v>
      </c>
      <c r="H44" s="3" t="s">
        <v>20</v>
      </c>
      <c r="I44" s="2" t="s">
        <v>17</v>
      </c>
      <c r="J44">
        <f t="shared" si="1"/>
        <v>0</v>
      </c>
    </row>
    <row r="45" spans="1:10" ht="17" x14ac:dyDescent="0.2">
      <c r="A45" s="3" t="s">
        <v>77</v>
      </c>
      <c r="B45" s="5">
        <v>45262</v>
      </c>
      <c r="C45" s="3" t="s">
        <v>8</v>
      </c>
      <c r="D45" s="3" t="s">
        <v>9</v>
      </c>
      <c r="E45" s="3" t="s">
        <v>29</v>
      </c>
      <c r="F45" s="3">
        <v>1</v>
      </c>
      <c r="G45" s="3">
        <v>7500000</v>
      </c>
      <c r="H45" s="2"/>
      <c r="I45" s="2" t="s">
        <v>8</v>
      </c>
      <c r="J45">
        <f t="shared" si="1"/>
        <v>7500000</v>
      </c>
    </row>
    <row r="46" spans="1:10" ht="17" x14ac:dyDescent="0.2">
      <c r="A46" s="3" t="s">
        <v>78</v>
      </c>
      <c r="B46" s="5">
        <v>44970</v>
      </c>
      <c r="C46" s="3" t="s">
        <v>13</v>
      </c>
      <c r="D46" s="3" t="s">
        <v>14</v>
      </c>
      <c r="E46" s="3" t="s">
        <v>61</v>
      </c>
      <c r="F46" s="3">
        <v>3</v>
      </c>
      <c r="G46" s="3">
        <v>2100000</v>
      </c>
      <c r="H46" s="3" t="s">
        <v>11</v>
      </c>
      <c r="I46" s="2" t="s">
        <v>13</v>
      </c>
      <c r="J46">
        <f t="shared" si="1"/>
        <v>6300000</v>
      </c>
    </row>
    <row r="47" spans="1:10" ht="17" x14ac:dyDescent="0.2">
      <c r="A47" s="3" t="s">
        <v>79</v>
      </c>
      <c r="B47" s="5">
        <v>44971</v>
      </c>
      <c r="C47" s="3" t="s">
        <v>17</v>
      </c>
      <c r="D47" s="3" t="s">
        <v>18</v>
      </c>
      <c r="E47" s="3" t="s">
        <v>63</v>
      </c>
      <c r="F47" s="3">
        <v>2</v>
      </c>
      <c r="G47" s="3">
        <v>450</v>
      </c>
      <c r="H47" s="2"/>
      <c r="I47" s="2" t="s">
        <v>17</v>
      </c>
      <c r="J47">
        <f t="shared" si="1"/>
        <v>900</v>
      </c>
    </row>
    <row r="48" spans="1:10" ht="17" x14ac:dyDescent="0.2">
      <c r="A48" s="3" t="s">
        <v>80</v>
      </c>
      <c r="B48" s="5">
        <v>44972</v>
      </c>
      <c r="C48" s="3" t="s">
        <v>22</v>
      </c>
      <c r="D48" s="3" t="s">
        <v>168</v>
      </c>
      <c r="E48" s="3" t="s">
        <v>46</v>
      </c>
      <c r="F48" s="3">
        <v>1</v>
      </c>
      <c r="G48" s="3">
        <v>2100000</v>
      </c>
      <c r="H48" s="2"/>
      <c r="I48" s="2" t="s">
        <v>22</v>
      </c>
      <c r="J48">
        <f t="shared" si="1"/>
        <v>2100000</v>
      </c>
    </row>
    <row r="49" spans="1:10" ht="17" x14ac:dyDescent="0.2">
      <c r="A49" s="3" t="s">
        <v>81</v>
      </c>
      <c r="B49" s="5">
        <v>44972</v>
      </c>
      <c r="C49" s="3" t="s">
        <v>25</v>
      </c>
      <c r="D49" s="3" t="s">
        <v>14</v>
      </c>
      <c r="E49" s="3" t="s">
        <v>15</v>
      </c>
      <c r="F49" s="3">
        <v>1</v>
      </c>
      <c r="G49" s="3">
        <v>1800000</v>
      </c>
      <c r="H49" s="2"/>
      <c r="I49" s="2" t="s">
        <v>25</v>
      </c>
      <c r="J49">
        <f t="shared" si="1"/>
        <v>1800000</v>
      </c>
    </row>
    <row r="50" spans="1:10" ht="17" x14ac:dyDescent="0.2">
      <c r="A50" s="3" t="s">
        <v>82</v>
      </c>
      <c r="B50" s="5">
        <v>44973</v>
      </c>
      <c r="C50" s="3" t="s">
        <v>8</v>
      </c>
      <c r="D50" s="3" t="s">
        <v>9</v>
      </c>
      <c r="E50" s="3" t="s">
        <v>19</v>
      </c>
      <c r="F50" s="3">
        <v>1</v>
      </c>
      <c r="G50" s="3">
        <v>2200000</v>
      </c>
      <c r="H50" s="2"/>
      <c r="I50" s="2" t="s">
        <v>8</v>
      </c>
      <c r="J50">
        <f t="shared" si="1"/>
        <v>2200000</v>
      </c>
    </row>
    <row r="51" spans="1:10" ht="17" x14ac:dyDescent="0.2">
      <c r="A51" s="3" t="s">
        <v>83</v>
      </c>
      <c r="B51" s="5">
        <v>44974</v>
      </c>
      <c r="C51" s="3" t="s">
        <v>13</v>
      </c>
      <c r="D51" s="3" t="s">
        <v>14</v>
      </c>
      <c r="E51" s="3" t="s">
        <v>23</v>
      </c>
      <c r="F51" s="2"/>
      <c r="G51" s="3">
        <v>6500000</v>
      </c>
      <c r="H51" s="2"/>
      <c r="I51" s="2" t="s">
        <v>13</v>
      </c>
      <c r="J51">
        <f t="shared" si="1"/>
        <v>0</v>
      </c>
    </row>
    <row r="52" spans="1:10" ht="17" x14ac:dyDescent="0.2">
      <c r="A52" s="3" t="s">
        <v>84</v>
      </c>
      <c r="B52" s="5">
        <v>44975</v>
      </c>
      <c r="C52" s="3" t="s">
        <v>17</v>
      </c>
      <c r="D52" s="3" t="s">
        <v>18</v>
      </c>
      <c r="E52" s="3" t="s">
        <v>85</v>
      </c>
      <c r="F52" s="3">
        <v>1</v>
      </c>
      <c r="G52" s="3">
        <v>2500000</v>
      </c>
      <c r="H52" s="2"/>
      <c r="I52" s="2" t="s">
        <v>17</v>
      </c>
      <c r="J52">
        <f t="shared" si="1"/>
        <v>2500000</v>
      </c>
    </row>
    <row r="53" spans="1:10" ht="17" x14ac:dyDescent="0.2">
      <c r="A53" s="3" t="s">
        <v>86</v>
      </c>
      <c r="B53" s="5">
        <v>44975</v>
      </c>
      <c r="C53" s="3" t="s">
        <v>22</v>
      </c>
      <c r="D53" s="3" t="s">
        <v>168</v>
      </c>
      <c r="E53" s="3" t="s">
        <v>29</v>
      </c>
      <c r="F53" s="3">
        <v>2</v>
      </c>
      <c r="G53" s="3">
        <v>7500000</v>
      </c>
      <c r="H53" s="2"/>
      <c r="I53" s="2" t="s">
        <v>22</v>
      </c>
      <c r="J53">
        <f t="shared" si="1"/>
        <v>15000000</v>
      </c>
    </row>
    <row r="54" spans="1:10" ht="17" x14ac:dyDescent="0.2">
      <c r="A54" s="3" t="s">
        <v>87</v>
      </c>
      <c r="B54" s="5">
        <v>44976</v>
      </c>
      <c r="C54" s="3" t="s">
        <v>25</v>
      </c>
      <c r="D54" s="3" t="s">
        <v>14</v>
      </c>
      <c r="E54" s="3" t="s">
        <v>61</v>
      </c>
      <c r="F54" s="3">
        <v>1</v>
      </c>
      <c r="G54" s="3">
        <v>2100000</v>
      </c>
      <c r="H54" s="2"/>
      <c r="I54" s="2" t="s">
        <v>25</v>
      </c>
      <c r="J54">
        <f t="shared" si="1"/>
        <v>2100000</v>
      </c>
    </row>
    <row r="55" spans="1:10" ht="17" x14ac:dyDescent="0.2">
      <c r="A55" s="3" t="s">
        <v>88</v>
      </c>
      <c r="B55" s="5">
        <v>44977</v>
      </c>
      <c r="C55" s="3" t="s">
        <v>8</v>
      </c>
      <c r="D55" s="3" t="s">
        <v>9</v>
      </c>
      <c r="E55" s="3" t="s">
        <v>63</v>
      </c>
      <c r="F55" s="3">
        <v>4</v>
      </c>
      <c r="G55" s="3">
        <v>450</v>
      </c>
      <c r="H55" s="2"/>
      <c r="I55" s="2" t="s">
        <v>8</v>
      </c>
      <c r="J55">
        <f t="shared" si="1"/>
        <v>1800</v>
      </c>
    </row>
    <row r="56" spans="1:10" ht="17" x14ac:dyDescent="0.2">
      <c r="A56" s="3" t="s">
        <v>89</v>
      </c>
      <c r="B56" s="5">
        <v>44978</v>
      </c>
      <c r="C56" s="3" t="s">
        <v>13</v>
      </c>
      <c r="D56" s="3" t="s">
        <v>14</v>
      </c>
      <c r="E56" s="3" t="s">
        <v>10</v>
      </c>
      <c r="F56" s="3">
        <v>1</v>
      </c>
      <c r="G56" s="3">
        <v>450</v>
      </c>
      <c r="H56" s="2"/>
      <c r="I56" s="2" t="s">
        <v>13</v>
      </c>
      <c r="J56">
        <f t="shared" si="1"/>
        <v>450</v>
      </c>
    </row>
    <row r="57" spans="1:10" ht="17" x14ac:dyDescent="0.2">
      <c r="A57" s="3" t="s">
        <v>90</v>
      </c>
      <c r="B57" s="5">
        <v>44979</v>
      </c>
      <c r="C57" s="3" t="s">
        <v>17</v>
      </c>
      <c r="D57" s="3" t="s">
        <v>18</v>
      </c>
      <c r="E57" s="3" t="s">
        <v>15</v>
      </c>
      <c r="F57" s="3">
        <v>1</v>
      </c>
      <c r="G57" s="3">
        <v>1800000</v>
      </c>
      <c r="H57" s="2"/>
      <c r="I57" s="2" t="s">
        <v>17</v>
      </c>
      <c r="J57">
        <f t="shared" si="1"/>
        <v>1800000</v>
      </c>
    </row>
    <row r="58" spans="1:10" ht="17" x14ac:dyDescent="0.2">
      <c r="A58" s="3" t="s">
        <v>91</v>
      </c>
      <c r="B58" s="5">
        <v>44980</v>
      </c>
      <c r="C58" s="3" t="s">
        <v>22</v>
      </c>
      <c r="D58" s="3" t="s">
        <v>168</v>
      </c>
      <c r="E58" s="3" t="s">
        <v>19</v>
      </c>
      <c r="F58" s="3">
        <v>1</v>
      </c>
      <c r="G58" s="3">
        <v>2200000</v>
      </c>
      <c r="H58" s="2"/>
      <c r="I58" s="2" t="s">
        <v>22</v>
      </c>
      <c r="J58">
        <f t="shared" si="1"/>
        <v>2200000</v>
      </c>
    </row>
    <row r="59" spans="1:10" ht="17" x14ac:dyDescent="0.2">
      <c r="A59" s="3" t="s">
        <v>92</v>
      </c>
      <c r="B59" s="5">
        <v>44980</v>
      </c>
      <c r="C59" s="3" t="s">
        <v>25</v>
      </c>
      <c r="D59" s="3" t="s">
        <v>14</v>
      </c>
      <c r="E59" s="3" t="s">
        <v>23</v>
      </c>
      <c r="F59" s="3">
        <v>2</v>
      </c>
      <c r="G59" s="3">
        <v>6500000</v>
      </c>
      <c r="H59" s="3" t="s">
        <v>27</v>
      </c>
      <c r="I59" s="2" t="s">
        <v>25</v>
      </c>
      <c r="J59">
        <f t="shared" si="1"/>
        <v>13000000</v>
      </c>
    </row>
    <row r="60" spans="1:10" ht="17" x14ac:dyDescent="0.2">
      <c r="A60" s="3" t="s">
        <v>93</v>
      </c>
      <c r="B60" s="5">
        <v>44981</v>
      </c>
      <c r="C60" s="3" t="s">
        <v>8</v>
      </c>
      <c r="D60" s="3" t="s">
        <v>9</v>
      </c>
      <c r="E60" s="3" t="s">
        <v>26</v>
      </c>
      <c r="F60" s="3">
        <v>1</v>
      </c>
      <c r="G60" s="3">
        <v>2500000</v>
      </c>
      <c r="H60" s="2"/>
      <c r="I60" s="2" t="s">
        <v>8</v>
      </c>
      <c r="J60">
        <f t="shared" si="1"/>
        <v>2500000</v>
      </c>
    </row>
    <row r="61" spans="1:10" ht="17" x14ac:dyDescent="0.2">
      <c r="A61" s="3" t="s">
        <v>94</v>
      </c>
      <c r="B61" s="5">
        <v>44982</v>
      </c>
      <c r="C61" s="3" t="s">
        <v>13</v>
      </c>
      <c r="D61" s="3" t="s">
        <v>14</v>
      </c>
      <c r="E61" s="3" t="s">
        <v>95</v>
      </c>
      <c r="F61" s="3">
        <v>1</v>
      </c>
      <c r="G61" s="3">
        <v>7500000</v>
      </c>
      <c r="H61" s="2"/>
      <c r="I61" s="2" t="s">
        <v>13</v>
      </c>
      <c r="J61">
        <f t="shared" si="1"/>
        <v>7500000</v>
      </c>
    </row>
    <row r="62" spans="1:10" ht="17" x14ac:dyDescent="0.2">
      <c r="A62" s="3" t="s">
        <v>96</v>
      </c>
      <c r="B62" s="5">
        <v>44983</v>
      </c>
      <c r="C62" s="3" t="s">
        <v>17</v>
      </c>
      <c r="D62" s="3" t="s">
        <v>18</v>
      </c>
      <c r="E62" s="3" t="s">
        <v>61</v>
      </c>
      <c r="F62" s="3">
        <v>1</v>
      </c>
      <c r="G62" s="3">
        <v>2100000</v>
      </c>
      <c r="H62" s="2"/>
      <c r="I62" s="2" t="s">
        <v>17</v>
      </c>
      <c r="J62">
        <f t="shared" si="1"/>
        <v>2100000</v>
      </c>
    </row>
    <row r="63" spans="1:10" ht="17" x14ac:dyDescent="0.2">
      <c r="A63" s="3" t="s">
        <v>97</v>
      </c>
      <c r="B63" s="5">
        <v>44984</v>
      </c>
      <c r="C63" s="3" t="s">
        <v>22</v>
      </c>
      <c r="D63" s="3" t="s">
        <v>168</v>
      </c>
      <c r="E63" s="3" t="s">
        <v>63</v>
      </c>
      <c r="F63" s="3">
        <v>2</v>
      </c>
      <c r="G63" s="3">
        <v>450</v>
      </c>
      <c r="H63" s="2"/>
      <c r="I63" s="2" t="s">
        <v>22</v>
      </c>
      <c r="J63">
        <f t="shared" si="1"/>
        <v>900</v>
      </c>
    </row>
    <row r="64" spans="1:10" ht="17" x14ac:dyDescent="0.2">
      <c r="A64" s="3" t="s">
        <v>98</v>
      </c>
      <c r="B64" s="5">
        <v>44985</v>
      </c>
      <c r="C64" s="3" t="s">
        <v>25</v>
      </c>
      <c r="D64" s="3" t="s">
        <v>14</v>
      </c>
      <c r="E64" s="3" t="s">
        <v>10</v>
      </c>
      <c r="F64" s="3">
        <v>1</v>
      </c>
      <c r="G64" s="3">
        <v>25000000</v>
      </c>
      <c r="H64" s="2"/>
      <c r="I64" s="2" t="s">
        <v>25</v>
      </c>
      <c r="J64">
        <f t="shared" si="1"/>
        <v>25000000</v>
      </c>
    </row>
    <row r="65" spans="1:10" ht="17" x14ac:dyDescent="0.2">
      <c r="A65" s="3" t="s">
        <v>99</v>
      </c>
      <c r="B65" s="5">
        <v>44929</v>
      </c>
      <c r="C65" s="3" t="s">
        <v>8</v>
      </c>
      <c r="D65" s="3" t="s">
        <v>55</v>
      </c>
      <c r="E65" s="3" t="s">
        <v>15</v>
      </c>
      <c r="F65" s="3">
        <v>2</v>
      </c>
      <c r="G65" s="3">
        <v>1800000</v>
      </c>
      <c r="H65" s="2"/>
      <c r="I65" s="2" t="s">
        <v>8</v>
      </c>
      <c r="J65">
        <f t="shared" si="1"/>
        <v>3600000</v>
      </c>
    </row>
    <row r="66" spans="1:10" ht="17" x14ac:dyDescent="0.2">
      <c r="A66" s="3" t="s">
        <v>100</v>
      </c>
      <c r="B66" s="5">
        <v>44960</v>
      </c>
      <c r="C66" s="3" t="s">
        <v>13</v>
      </c>
      <c r="D66" s="3" t="s">
        <v>14</v>
      </c>
      <c r="E66" s="3" t="s">
        <v>19</v>
      </c>
      <c r="F66" s="3">
        <v>1</v>
      </c>
      <c r="G66" s="3">
        <v>2200000</v>
      </c>
      <c r="H66" s="2"/>
      <c r="I66" s="2" t="s">
        <v>13</v>
      </c>
      <c r="J66">
        <f t="shared" si="1"/>
        <v>2200000</v>
      </c>
    </row>
    <row r="67" spans="1:10" ht="17" x14ac:dyDescent="0.2">
      <c r="A67" s="3" t="s">
        <v>101</v>
      </c>
      <c r="B67" s="5">
        <v>44960</v>
      </c>
      <c r="C67" s="3" t="s">
        <v>17</v>
      </c>
      <c r="D67" s="3" t="s">
        <v>18</v>
      </c>
      <c r="E67" s="3" t="s">
        <v>23</v>
      </c>
      <c r="F67" s="3">
        <v>1</v>
      </c>
      <c r="G67" s="3">
        <v>6500000</v>
      </c>
      <c r="H67" s="2"/>
      <c r="I67" s="2" t="s">
        <v>17</v>
      </c>
      <c r="J67">
        <f t="shared" ref="J67:J130" si="2">F67*G67</f>
        <v>6500000</v>
      </c>
    </row>
    <row r="68" spans="1:10" ht="17" x14ac:dyDescent="0.2">
      <c r="A68" s="3" t="s">
        <v>102</v>
      </c>
      <c r="B68" s="5">
        <v>44988</v>
      </c>
      <c r="C68" s="3" t="s">
        <v>22</v>
      </c>
      <c r="D68" s="3" t="s">
        <v>168</v>
      </c>
      <c r="E68" s="3" t="s">
        <v>26</v>
      </c>
      <c r="F68" s="3">
        <v>3</v>
      </c>
      <c r="G68" s="3">
        <v>2500000</v>
      </c>
      <c r="H68" s="2"/>
      <c r="I68" s="2" t="s">
        <v>22</v>
      </c>
      <c r="J68">
        <f t="shared" si="2"/>
        <v>7500000</v>
      </c>
    </row>
    <row r="69" spans="1:10" ht="17" x14ac:dyDescent="0.2">
      <c r="A69" s="3" t="s">
        <v>103</v>
      </c>
      <c r="B69" s="5">
        <v>45019</v>
      </c>
      <c r="C69" s="3" t="s">
        <v>25</v>
      </c>
      <c r="D69" s="3" t="s">
        <v>14</v>
      </c>
      <c r="E69" s="3" t="s">
        <v>29</v>
      </c>
      <c r="F69" s="3">
        <v>1</v>
      </c>
      <c r="G69" s="3">
        <v>7500000</v>
      </c>
      <c r="H69" s="2"/>
      <c r="I69" s="2" t="s">
        <v>25</v>
      </c>
      <c r="J69">
        <f t="shared" si="2"/>
        <v>7500000</v>
      </c>
    </row>
    <row r="70" spans="1:10" ht="17" x14ac:dyDescent="0.2">
      <c r="A70" s="3" t="s">
        <v>104</v>
      </c>
      <c r="B70" s="5">
        <v>45049</v>
      </c>
      <c r="C70" s="3" t="s">
        <v>8</v>
      </c>
      <c r="D70" s="3" t="s">
        <v>9</v>
      </c>
      <c r="E70" s="3" t="s">
        <v>61</v>
      </c>
      <c r="F70" s="3">
        <v>1</v>
      </c>
      <c r="G70" s="3">
        <v>2100000</v>
      </c>
      <c r="H70" s="2"/>
      <c r="I70" s="2" t="s">
        <v>8</v>
      </c>
      <c r="J70">
        <f t="shared" si="2"/>
        <v>2100000</v>
      </c>
    </row>
    <row r="71" spans="1:10" ht="17" x14ac:dyDescent="0.2">
      <c r="A71" s="3" t="s">
        <v>105</v>
      </c>
      <c r="B71" s="5">
        <v>45049</v>
      </c>
      <c r="C71" s="3" t="s">
        <v>13</v>
      </c>
      <c r="D71" s="3" t="s">
        <v>14</v>
      </c>
      <c r="E71" s="3" t="s">
        <v>63</v>
      </c>
      <c r="F71" s="3">
        <v>3</v>
      </c>
      <c r="G71" s="3">
        <v>450</v>
      </c>
      <c r="H71" s="2"/>
      <c r="I71" s="2" t="s">
        <v>13</v>
      </c>
      <c r="J71">
        <f t="shared" si="2"/>
        <v>1350</v>
      </c>
    </row>
    <row r="72" spans="1:10" ht="17" x14ac:dyDescent="0.2">
      <c r="A72" s="3" t="s">
        <v>106</v>
      </c>
      <c r="B72" s="5">
        <v>45080</v>
      </c>
      <c r="C72" s="3" t="s">
        <v>17</v>
      </c>
      <c r="D72" s="3" t="s">
        <v>18</v>
      </c>
      <c r="E72" s="3" t="s">
        <v>46</v>
      </c>
      <c r="F72" s="3">
        <v>1</v>
      </c>
      <c r="G72" s="3">
        <v>25000000</v>
      </c>
      <c r="H72" s="3" t="s">
        <v>20</v>
      </c>
      <c r="I72" s="2" t="s">
        <v>17</v>
      </c>
      <c r="J72">
        <f t="shared" si="2"/>
        <v>25000000</v>
      </c>
    </row>
    <row r="73" spans="1:10" ht="17" x14ac:dyDescent="0.2">
      <c r="A73" s="3" t="s">
        <v>107</v>
      </c>
      <c r="B73" s="5">
        <v>45110</v>
      </c>
      <c r="C73" s="3" t="s">
        <v>22</v>
      </c>
      <c r="D73" s="3" t="s">
        <v>168</v>
      </c>
      <c r="E73" s="3" t="s">
        <v>15</v>
      </c>
      <c r="F73" s="2"/>
      <c r="G73" s="3">
        <v>1800000</v>
      </c>
      <c r="H73" s="2"/>
      <c r="I73" s="2" t="s">
        <v>22</v>
      </c>
      <c r="J73">
        <f t="shared" si="2"/>
        <v>0</v>
      </c>
    </row>
    <row r="74" spans="1:10" ht="17" x14ac:dyDescent="0.2">
      <c r="A74" s="3" t="s">
        <v>108</v>
      </c>
      <c r="B74" s="5">
        <v>45141</v>
      </c>
      <c r="C74" s="3" t="s">
        <v>25</v>
      </c>
      <c r="D74" s="3" t="s">
        <v>14</v>
      </c>
      <c r="E74" s="3" t="s">
        <v>19</v>
      </c>
      <c r="F74" s="3">
        <v>2</v>
      </c>
      <c r="G74" s="3">
        <v>2200000</v>
      </c>
      <c r="H74" s="2"/>
      <c r="I74" s="2" t="s">
        <v>25</v>
      </c>
      <c r="J74">
        <f t="shared" si="2"/>
        <v>4400000</v>
      </c>
    </row>
    <row r="75" spans="1:10" ht="17" x14ac:dyDescent="0.2">
      <c r="A75" s="3" t="s">
        <v>109</v>
      </c>
      <c r="B75" s="5">
        <v>45141</v>
      </c>
      <c r="C75" s="3" t="s">
        <v>8</v>
      </c>
      <c r="D75" s="3" t="s">
        <v>9</v>
      </c>
      <c r="E75" s="3" t="s">
        <v>23</v>
      </c>
      <c r="F75" s="3">
        <v>1</v>
      </c>
      <c r="G75" s="3">
        <v>6500000</v>
      </c>
      <c r="H75" s="2"/>
      <c r="I75" s="2" t="s">
        <v>8</v>
      </c>
      <c r="J75">
        <f t="shared" si="2"/>
        <v>6500000</v>
      </c>
    </row>
    <row r="76" spans="1:10" ht="17" x14ac:dyDescent="0.2">
      <c r="A76" s="3" t="s">
        <v>110</v>
      </c>
      <c r="B76" s="5">
        <v>45172</v>
      </c>
      <c r="C76" s="3" t="s">
        <v>13</v>
      </c>
      <c r="D76" s="3" t="s">
        <v>14</v>
      </c>
      <c r="E76" s="3" t="s">
        <v>26</v>
      </c>
      <c r="F76" s="3">
        <v>1</v>
      </c>
      <c r="G76" s="3">
        <v>2500000</v>
      </c>
      <c r="H76" s="3" t="s">
        <v>41</v>
      </c>
      <c r="I76" s="2" t="s">
        <v>13</v>
      </c>
      <c r="J76">
        <f t="shared" si="2"/>
        <v>2500000</v>
      </c>
    </row>
    <row r="77" spans="1:10" ht="17" x14ac:dyDescent="0.2">
      <c r="A77" s="3" t="s">
        <v>111</v>
      </c>
      <c r="B77" s="5">
        <v>45202</v>
      </c>
      <c r="C77" s="3" t="s">
        <v>17</v>
      </c>
      <c r="D77" s="3" t="s">
        <v>18</v>
      </c>
      <c r="E77" s="3" t="s">
        <v>29</v>
      </c>
      <c r="F77" s="3">
        <v>1</v>
      </c>
      <c r="G77" s="3">
        <v>7500000</v>
      </c>
      <c r="H77" s="2"/>
      <c r="I77" s="2" t="s">
        <v>17</v>
      </c>
      <c r="J77">
        <f t="shared" si="2"/>
        <v>7500000</v>
      </c>
    </row>
    <row r="78" spans="1:10" ht="17" x14ac:dyDescent="0.2">
      <c r="A78" s="3" t="s">
        <v>112</v>
      </c>
      <c r="B78" s="5">
        <v>45233</v>
      </c>
      <c r="C78" s="3" t="s">
        <v>22</v>
      </c>
      <c r="D78" s="3" t="s">
        <v>168</v>
      </c>
      <c r="E78" s="3" t="s">
        <v>61</v>
      </c>
      <c r="F78" s="3">
        <v>2</v>
      </c>
      <c r="G78" s="3">
        <v>2100000</v>
      </c>
      <c r="H78" s="2"/>
      <c r="I78" s="2" t="s">
        <v>22</v>
      </c>
      <c r="J78">
        <f t="shared" si="2"/>
        <v>4200000</v>
      </c>
    </row>
    <row r="79" spans="1:10" ht="17" x14ac:dyDescent="0.2">
      <c r="A79" s="3" t="s">
        <v>113</v>
      </c>
      <c r="B79" s="5">
        <v>45233</v>
      </c>
      <c r="C79" s="3" t="s">
        <v>25</v>
      </c>
      <c r="D79" s="3" t="s">
        <v>14</v>
      </c>
      <c r="E79" s="3" t="s">
        <v>46</v>
      </c>
      <c r="F79" s="3">
        <v>1</v>
      </c>
      <c r="G79" s="3">
        <v>7500000</v>
      </c>
      <c r="H79" s="2"/>
      <c r="I79" s="2" t="s">
        <v>25</v>
      </c>
      <c r="J79">
        <f t="shared" si="2"/>
        <v>7500000</v>
      </c>
    </row>
    <row r="80" spans="1:10" ht="17" x14ac:dyDescent="0.2">
      <c r="A80" s="3" t="s">
        <v>114</v>
      </c>
      <c r="B80" s="5">
        <v>45263</v>
      </c>
      <c r="C80" s="3" t="s">
        <v>8</v>
      </c>
      <c r="D80" s="3" t="s">
        <v>9</v>
      </c>
      <c r="E80" s="3" t="s">
        <v>10</v>
      </c>
      <c r="F80" s="3">
        <v>1</v>
      </c>
      <c r="G80" s="3">
        <v>25000000</v>
      </c>
      <c r="H80" s="2"/>
      <c r="I80" s="2" t="s">
        <v>8</v>
      </c>
      <c r="J80">
        <f t="shared" si="2"/>
        <v>25000000</v>
      </c>
    </row>
    <row r="81" spans="1:10" ht="17" x14ac:dyDescent="0.2">
      <c r="A81" s="3" t="s">
        <v>115</v>
      </c>
      <c r="B81" s="5">
        <v>44998</v>
      </c>
      <c r="C81" s="3" t="s">
        <v>13</v>
      </c>
      <c r="D81" s="3" t="s">
        <v>14</v>
      </c>
      <c r="E81" s="3" t="s">
        <v>39</v>
      </c>
      <c r="F81" s="3">
        <v>1</v>
      </c>
      <c r="G81" s="3">
        <v>1800000</v>
      </c>
      <c r="H81" s="2"/>
      <c r="I81" s="2" t="s">
        <v>13</v>
      </c>
      <c r="J81">
        <f t="shared" si="2"/>
        <v>1800000</v>
      </c>
    </row>
    <row r="82" spans="1:10" ht="17" x14ac:dyDescent="0.2">
      <c r="A82" s="3" t="s">
        <v>116</v>
      </c>
      <c r="B82" s="5">
        <v>44999</v>
      </c>
      <c r="C82" s="3" t="s">
        <v>17</v>
      </c>
      <c r="D82" s="3" t="s">
        <v>18</v>
      </c>
      <c r="E82" s="3" t="s">
        <v>19</v>
      </c>
      <c r="F82" s="3">
        <v>1</v>
      </c>
      <c r="G82" s="3">
        <v>2200000</v>
      </c>
      <c r="H82" s="2"/>
      <c r="I82" s="2" t="s">
        <v>17</v>
      </c>
      <c r="J82">
        <f t="shared" si="2"/>
        <v>2200000</v>
      </c>
    </row>
    <row r="83" spans="1:10" ht="17" x14ac:dyDescent="0.2">
      <c r="A83" s="3" t="s">
        <v>117</v>
      </c>
      <c r="B83" s="5">
        <v>45000</v>
      </c>
      <c r="C83" s="3" t="s">
        <v>22</v>
      </c>
      <c r="D83" s="3" t="s">
        <v>168</v>
      </c>
      <c r="E83" s="3" t="s">
        <v>23</v>
      </c>
      <c r="F83" s="3">
        <v>1</v>
      </c>
      <c r="G83" s="3">
        <v>6500000</v>
      </c>
      <c r="H83" s="2"/>
      <c r="I83" s="2" t="s">
        <v>22</v>
      </c>
      <c r="J83">
        <f t="shared" si="2"/>
        <v>6500000</v>
      </c>
    </row>
    <row r="84" spans="1:10" ht="17" x14ac:dyDescent="0.2">
      <c r="A84" s="3" t="s">
        <v>118</v>
      </c>
      <c r="B84" s="5">
        <v>45000</v>
      </c>
      <c r="C84" s="3" t="s">
        <v>25</v>
      </c>
      <c r="D84" s="3" t="s">
        <v>14</v>
      </c>
      <c r="E84" s="3" t="s">
        <v>26</v>
      </c>
      <c r="F84" s="3">
        <v>5</v>
      </c>
      <c r="G84" s="3">
        <v>2500000</v>
      </c>
      <c r="H84" s="3" t="s">
        <v>27</v>
      </c>
      <c r="I84" s="2" t="s">
        <v>25</v>
      </c>
      <c r="J84">
        <f t="shared" si="2"/>
        <v>12500000</v>
      </c>
    </row>
    <row r="85" spans="1:10" ht="17" x14ac:dyDescent="0.2">
      <c r="A85" s="3" t="s">
        <v>119</v>
      </c>
      <c r="B85" s="5">
        <v>45001</v>
      </c>
      <c r="C85" s="3" t="s">
        <v>8</v>
      </c>
      <c r="D85" s="3" t="s">
        <v>9</v>
      </c>
      <c r="E85" s="3" t="s">
        <v>29</v>
      </c>
      <c r="F85" s="3">
        <v>1</v>
      </c>
      <c r="G85" s="3">
        <v>7500000</v>
      </c>
      <c r="H85" s="2"/>
      <c r="I85" s="2" t="s">
        <v>8</v>
      </c>
      <c r="J85">
        <f t="shared" si="2"/>
        <v>7500000</v>
      </c>
    </row>
    <row r="86" spans="1:10" ht="17" x14ac:dyDescent="0.2">
      <c r="A86" s="3" t="s">
        <v>120</v>
      </c>
      <c r="B86" s="5">
        <v>45002</v>
      </c>
      <c r="C86" s="3" t="s">
        <v>13</v>
      </c>
      <c r="D86" s="3" t="s">
        <v>14</v>
      </c>
      <c r="E86" s="3" t="s">
        <v>61</v>
      </c>
      <c r="F86" s="3">
        <v>1</v>
      </c>
      <c r="G86" s="3">
        <v>2100000</v>
      </c>
      <c r="H86" s="2"/>
      <c r="I86" s="2" t="s">
        <v>13</v>
      </c>
      <c r="J86">
        <f t="shared" si="2"/>
        <v>2100000</v>
      </c>
    </row>
    <row r="87" spans="1:10" ht="17" x14ac:dyDescent="0.2">
      <c r="A87" s="3" t="s">
        <v>121</v>
      </c>
      <c r="B87" s="5">
        <v>45003</v>
      </c>
      <c r="C87" s="3" t="s">
        <v>17</v>
      </c>
      <c r="D87" s="3" t="s">
        <v>18</v>
      </c>
      <c r="E87" s="3" t="s">
        <v>63</v>
      </c>
      <c r="F87" s="3">
        <v>2</v>
      </c>
      <c r="G87" s="3">
        <v>450</v>
      </c>
      <c r="H87" s="2"/>
      <c r="I87" s="2" t="s">
        <v>17</v>
      </c>
      <c r="J87">
        <f t="shared" si="2"/>
        <v>900</v>
      </c>
    </row>
    <row r="88" spans="1:10" ht="17" x14ac:dyDescent="0.2">
      <c r="A88" s="3" t="s">
        <v>122</v>
      </c>
      <c r="B88" s="5">
        <v>45003</v>
      </c>
      <c r="C88" s="3" t="s">
        <v>22</v>
      </c>
      <c r="D88" s="3" t="s">
        <v>168</v>
      </c>
      <c r="E88" s="3" t="s">
        <v>10</v>
      </c>
      <c r="F88" s="3">
        <v>1</v>
      </c>
      <c r="G88" s="3">
        <v>25000000</v>
      </c>
      <c r="H88" s="2"/>
      <c r="I88" s="2" t="s">
        <v>22</v>
      </c>
      <c r="J88">
        <f t="shared" si="2"/>
        <v>25000000</v>
      </c>
    </row>
    <row r="89" spans="1:10" ht="17" x14ac:dyDescent="0.2">
      <c r="A89" s="3" t="s">
        <v>123</v>
      </c>
      <c r="B89" s="5">
        <v>45004</v>
      </c>
      <c r="C89" s="3" t="s">
        <v>25</v>
      </c>
      <c r="D89" s="3" t="s">
        <v>14</v>
      </c>
      <c r="E89" s="3" t="s">
        <v>15</v>
      </c>
      <c r="F89" s="3">
        <v>2</v>
      </c>
      <c r="G89" s="3">
        <v>1800000</v>
      </c>
      <c r="H89" s="2"/>
      <c r="I89" s="2" t="s">
        <v>25</v>
      </c>
      <c r="J89">
        <f t="shared" si="2"/>
        <v>3600000</v>
      </c>
    </row>
    <row r="90" spans="1:10" ht="17" x14ac:dyDescent="0.2">
      <c r="A90" s="3" t="s">
        <v>124</v>
      </c>
      <c r="B90" s="5">
        <v>45005</v>
      </c>
      <c r="C90" s="3" t="s">
        <v>8</v>
      </c>
      <c r="D90" s="3" t="s">
        <v>9</v>
      </c>
      <c r="E90" s="3" t="s">
        <v>19</v>
      </c>
      <c r="F90" s="3">
        <v>1</v>
      </c>
      <c r="G90" s="3">
        <v>2200000</v>
      </c>
      <c r="H90" s="2"/>
      <c r="I90" s="2" t="s">
        <v>8</v>
      </c>
      <c r="J90">
        <f t="shared" si="2"/>
        <v>2200000</v>
      </c>
    </row>
    <row r="91" spans="1:10" ht="17" x14ac:dyDescent="0.2">
      <c r="A91" s="3" t="s">
        <v>125</v>
      </c>
      <c r="B91" s="5">
        <v>45006</v>
      </c>
      <c r="C91" s="3" t="s">
        <v>13</v>
      </c>
      <c r="D91" s="3" t="s">
        <v>14</v>
      </c>
      <c r="E91" s="3" t="s">
        <v>23</v>
      </c>
      <c r="F91" s="3">
        <v>1</v>
      </c>
      <c r="G91" s="3">
        <v>6500000</v>
      </c>
      <c r="H91" s="2"/>
      <c r="I91" s="2" t="s">
        <v>13</v>
      </c>
      <c r="J91">
        <f t="shared" si="2"/>
        <v>6500000</v>
      </c>
    </row>
    <row r="92" spans="1:10" ht="17" x14ac:dyDescent="0.2">
      <c r="A92" s="3" t="s">
        <v>126</v>
      </c>
      <c r="B92" s="5">
        <v>45007</v>
      </c>
      <c r="C92" s="3" t="s">
        <v>17</v>
      </c>
      <c r="D92" s="3" t="s">
        <v>18</v>
      </c>
      <c r="E92" s="3" t="s">
        <v>26</v>
      </c>
      <c r="F92" s="3">
        <v>1</v>
      </c>
      <c r="G92" s="3">
        <v>2500000</v>
      </c>
      <c r="H92" s="2"/>
      <c r="I92" s="2" t="s">
        <v>17</v>
      </c>
      <c r="J92">
        <f t="shared" si="2"/>
        <v>2500000</v>
      </c>
    </row>
    <row r="93" spans="1:10" ht="17" x14ac:dyDescent="0.2">
      <c r="A93" s="3" t="s">
        <v>127</v>
      </c>
      <c r="B93" s="5">
        <v>45008</v>
      </c>
      <c r="C93" s="3" t="s">
        <v>22</v>
      </c>
      <c r="D93" s="3" t="s">
        <v>168</v>
      </c>
      <c r="E93" s="3" t="s">
        <v>95</v>
      </c>
      <c r="F93" s="3">
        <v>1</v>
      </c>
      <c r="G93" s="3">
        <v>7500000</v>
      </c>
      <c r="H93" s="2"/>
      <c r="I93" s="2" t="s">
        <v>22</v>
      </c>
      <c r="J93">
        <f t="shared" si="2"/>
        <v>7500000</v>
      </c>
    </row>
    <row r="94" spans="1:10" ht="17" x14ac:dyDescent="0.2">
      <c r="A94" s="3" t="s">
        <v>128</v>
      </c>
      <c r="B94" s="5">
        <v>45008</v>
      </c>
      <c r="C94" s="3" t="s">
        <v>25</v>
      </c>
      <c r="D94" s="3" t="s">
        <v>14</v>
      </c>
      <c r="E94" s="3" t="s">
        <v>61</v>
      </c>
      <c r="F94" s="3">
        <v>3</v>
      </c>
      <c r="G94" s="3">
        <v>2100000</v>
      </c>
      <c r="H94" s="2"/>
      <c r="I94" s="2" t="s">
        <v>25</v>
      </c>
      <c r="J94">
        <f t="shared" si="2"/>
        <v>6300000</v>
      </c>
    </row>
    <row r="95" spans="1:10" ht="17" x14ac:dyDescent="0.2">
      <c r="A95" s="3" t="s">
        <v>129</v>
      </c>
      <c r="B95" s="5">
        <v>45009</v>
      </c>
      <c r="C95" s="3" t="s">
        <v>8</v>
      </c>
      <c r="D95" s="3" t="s">
        <v>9</v>
      </c>
      <c r="E95" s="3" t="s">
        <v>63</v>
      </c>
      <c r="F95" s="3">
        <v>1</v>
      </c>
      <c r="G95" s="3">
        <v>450</v>
      </c>
      <c r="H95" s="2"/>
      <c r="I95" s="2" t="s">
        <v>8</v>
      </c>
      <c r="J95">
        <f t="shared" si="2"/>
        <v>450</v>
      </c>
    </row>
    <row r="96" spans="1:10" ht="17" x14ac:dyDescent="0.2">
      <c r="A96" s="3" t="s">
        <v>130</v>
      </c>
      <c r="B96" s="5">
        <v>45375</v>
      </c>
      <c r="C96" s="3" t="s">
        <v>13</v>
      </c>
      <c r="D96" s="3" t="s">
        <v>14</v>
      </c>
      <c r="E96" s="3" t="s">
        <v>10</v>
      </c>
      <c r="F96" s="3">
        <v>1</v>
      </c>
      <c r="G96" s="3">
        <v>25000000</v>
      </c>
      <c r="H96" s="2"/>
      <c r="I96" s="2" t="s">
        <v>13</v>
      </c>
      <c r="J96">
        <f t="shared" si="2"/>
        <v>25000000</v>
      </c>
    </row>
    <row r="97" spans="1:10" ht="17" x14ac:dyDescent="0.2">
      <c r="A97" s="3" t="s">
        <v>131</v>
      </c>
      <c r="B97" s="5">
        <v>45740</v>
      </c>
      <c r="C97" s="3" t="s">
        <v>17</v>
      </c>
      <c r="D97" s="3" t="s">
        <v>18</v>
      </c>
      <c r="E97" s="3" t="s">
        <v>15</v>
      </c>
      <c r="F97" s="3">
        <v>1</v>
      </c>
      <c r="G97" s="3">
        <v>1800000</v>
      </c>
      <c r="H97" s="2"/>
      <c r="I97" s="2" t="s">
        <v>17</v>
      </c>
      <c r="J97">
        <f t="shared" si="2"/>
        <v>1800000</v>
      </c>
    </row>
    <row r="98" spans="1:10" ht="17" x14ac:dyDescent="0.2">
      <c r="A98" s="3" t="s">
        <v>132</v>
      </c>
      <c r="B98" s="5">
        <v>46105</v>
      </c>
      <c r="C98" s="3" t="s">
        <v>22</v>
      </c>
      <c r="D98" s="3" t="s">
        <v>168</v>
      </c>
      <c r="E98" s="3" t="s">
        <v>19</v>
      </c>
      <c r="F98" s="3">
        <v>2</v>
      </c>
      <c r="G98" s="3">
        <v>2200000</v>
      </c>
      <c r="H98" s="3" t="s">
        <v>35</v>
      </c>
      <c r="I98" s="2" t="s">
        <v>22</v>
      </c>
      <c r="J98">
        <f t="shared" si="2"/>
        <v>4400000</v>
      </c>
    </row>
    <row r="99" spans="1:10" ht="17" x14ac:dyDescent="0.2">
      <c r="A99" s="3" t="s">
        <v>133</v>
      </c>
      <c r="B99" s="5">
        <v>46470</v>
      </c>
      <c r="C99" s="3" t="s">
        <v>25</v>
      </c>
      <c r="D99" s="3" t="s">
        <v>14</v>
      </c>
      <c r="E99" s="3" t="s">
        <v>23</v>
      </c>
      <c r="F99" s="3">
        <v>1</v>
      </c>
      <c r="G99" s="3">
        <v>6500000</v>
      </c>
      <c r="H99" s="2"/>
      <c r="I99" s="2" t="s">
        <v>25</v>
      </c>
      <c r="J99">
        <f t="shared" si="2"/>
        <v>6500000</v>
      </c>
    </row>
    <row r="100" spans="1:10" ht="17" x14ac:dyDescent="0.2">
      <c r="A100" s="3" t="s">
        <v>134</v>
      </c>
      <c r="B100" s="5">
        <v>45136</v>
      </c>
      <c r="C100" s="3" t="s">
        <v>8</v>
      </c>
      <c r="D100" s="3" t="s">
        <v>9</v>
      </c>
      <c r="E100" s="3" t="s">
        <v>26</v>
      </c>
      <c r="F100" s="3">
        <v>1</v>
      </c>
      <c r="G100" s="3">
        <v>2500000</v>
      </c>
      <c r="H100" s="2"/>
      <c r="I100" s="2" t="s">
        <v>8</v>
      </c>
      <c r="J100">
        <f t="shared" si="2"/>
        <v>2500000</v>
      </c>
    </row>
    <row r="101" spans="1:10" ht="17" x14ac:dyDescent="0.2">
      <c r="A101" s="3" t="s">
        <v>135</v>
      </c>
      <c r="B101" s="5">
        <v>45137</v>
      </c>
      <c r="C101" s="3" t="s">
        <v>13</v>
      </c>
      <c r="D101" s="3" t="s">
        <v>14</v>
      </c>
      <c r="E101" s="3" t="s">
        <v>29</v>
      </c>
      <c r="F101" s="3">
        <v>1</v>
      </c>
      <c r="G101" s="3">
        <v>7500000</v>
      </c>
      <c r="H101" s="2"/>
      <c r="I101" s="2" t="s">
        <v>13</v>
      </c>
      <c r="J101">
        <f t="shared" si="2"/>
        <v>7500000</v>
      </c>
    </row>
    <row r="102" spans="1:10" ht="17" x14ac:dyDescent="0.2">
      <c r="A102" s="3" t="s">
        <v>136</v>
      </c>
      <c r="B102" s="5">
        <v>45138</v>
      </c>
      <c r="C102" s="3" t="s">
        <v>17</v>
      </c>
      <c r="D102" s="3" t="s">
        <v>18</v>
      </c>
      <c r="E102" s="3" t="s">
        <v>61</v>
      </c>
      <c r="F102" s="3">
        <v>1</v>
      </c>
      <c r="G102" s="3">
        <v>2100000</v>
      </c>
      <c r="H102" s="2"/>
      <c r="I102" s="2" t="s">
        <v>17</v>
      </c>
      <c r="J102">
        <f t="shared" si="2"/>
        <v>2100000</v>
      </c>
    </row>
    <row r="103" spans="1:10" ht="17" x14ac:dyDescent="0.2">
      <c r="A103" s="3" t="s">
        <v>137</v>
      </c>
      <c r="B103" s="5">
        <v>45139</v>
      </c>
      <c r="C103" s="3" t="s">
        <v>22</v>
      </c>
      <c r="D103" s="3" t="s">
        <v>168</v>
      </c>
      <c r="E103" s="3" t="s">
        <v>63</v>
      </c>
      <c r="F103" s="3">
        <v>4</v>
      </c>
      <c r="G103" s="3">
        <v>450</v>
      </c>
      <c r="H103" s="2"/>
      <c r="I103" s="2" t="s">
        <v>22</v>
      </c>
      <c r="J103">
        <f t="shared" si="2"/>
        <v>1800</v>
      </c>
    </row>
    <row r="104" spans="1:10" ht="17" x14ac:dyDescent="0.2">
      <c r="A104" s="3" t="s">
        <v>138</v>
      </c>
      <c r="B104" s="5">
        <v>45140</v>
      </c>
      <c r="C104" s="3" t="s">
        <v>25</v>
      </c>
      <c r="D104" s="3" t="s">
        <v>14</v>
      </c>
      <c r="E104" s="3" t="s">
        <v>10</v>
      </c>
      <c r="F104" s="3">
        <v>1</v>
      </c>
      <c r="G104" s="3">
        <v>25000000</v>
      </c>
      <c r="H104" s="2"/>
      <c r="I104" s="2" t="s">
        <v>25</v>
      </c>
      <c r="J104">
        <f t="shared" si="2"/>
        <v>25000000</v>
      </c>
    </row>
    <row r="105" spans="1:10" ht="17" x14ac:dyDescent="0.2">
      <c r="A105" s="3" t="s">
        <v>139</v>
      </c>
      <c r="B105" s="5">
        <v>45141</v>
      </c>
      <c r="C105" s="3" t="s">
        <v>8</v>
      </c>
      <c r="D105" s="3" t="s">
        <v>55</v>
      </c>
      <c r="E105" s="3" t="s">
        <v>15</v>
      </c>
      <c r="F105" s="3">
        <v>1</v>
      </c>
      <c r="G105" s="3">
        <v>1800000</v>
      </c>
      <c r="H105" s="2"/>
      <c r="I105" s="2" t="s">
        <v>8</v>
      </c>
      <c r="J105">
        <f t="shared" si="2"/>
        <v>1800000</v>
      </c>
    </row>
    <row r="106" spans="1:10" ht="17" x14ac:dyDescent="0.2">
      <c r="A106" s="3" t="s">
        <v>140</v>
      </c>
      <c r="B106" s="5">
        <v>45142</v>
      </c>
      <c r="C106" s="3" t="s">
        <v>13</v>
      </c>
      <c r="D106" s="3" t="s">
        <v>14</v>
      </c>
      <c r="E106" s="3" t="s">
        <v>19</v>
      </c>
      <c r="F106" s="3">
        <v>1</v>
      </c>
      <c r="G106" s="3">
        <v>2200000</v>
      </c>
      <c r="H106" s="2"/>
      <c r="I106" s="2" t="s">
        <v>13</v>
      </c>
      <c r="J106">
        <f t="shared" si="2"/>
        <v>2200000</v>
      </c>
    </row>
    <row r="107" spans="1:10" ht="17" x14ac:dyDescent="0.2">
      <c r="A107" s="3" t="s">
        <v>141</v>
      </c>
      <c r="B107" s="5">
        <v>45173</v>
      </c>
      <c r="C107" s="3" t="s">
        <v>17</v>
      </c>
      <c r="D107" s="3" t="s">
        <v>18</v>
      </c>
      <c r="E107" s="3" t="s">
        <v>68</v>
      </c>
      <c r="F107" s="3">
        <v>2</v>
      </c>
      <c r="G107" s="3">
        <v>6500000</v>
      </c>
      <c r="H107" s="3" t="s">
        <v>27</v>
      </c>
      <c r="I107" s="2" t="s">
        <v>17</v>
      </c>
      <c r="J107">
        <f t="shared" si="2"/>
        <v>13000000</v>
      </c>
    </row>
    <row r="108" spans="1:10" ht="17" x14ac:dyDescent="0.2">
      <c r="A108" s="3" t="s">
        <v>142</v>
      </c>
      <c r="B108" s="5">
        <v>45203</v>
      </c>
      <c r="C108" s="3" t="s">
        <v>22</v>
      </c>
      <c r="D108" s="3" t="s">
        <v>168</v>
      </c>
      <c r="E108" s="3" t="s">
        <v>26</v>
      </c>
      <c r="F108" s="3">
        <v>2</v>
      </c>
      <c r="G108" s="3">
        <v>2500000</v>
      </c>
      <c r="H108" s="2"/>
      <c r="I108" s="2" t="s">
        <v>22</v>
      </c>
      <c r="J108">
        <f t="shared" si="2"/>
        <v>5000000</v>
      </c>
    </row>
    <row r="109" spans="1:10" ht="17" x14ac:dyDescent="0.2">
      <c r="A109" s="3" t="s">
        <v>143</v>
      </c>
      <c r="B109" s="5">
        <v>45234</v>
      </c>
      <c r="C109" s="3" t="s">
        <v>25</v>
      </c>
      <c r="D109" s="3" t="s">
        <v>14</v>
      </c>
      <c r="E109" s="3" t="s">
        <v>29</v>
      </c>
      <c r="F109" s="3">
        <v>1</v>
      </c>
      <c r="G109" s="3">
        <v>7500000</v>
      </c>
      <c r="H109" s="2"/>
      <c r="I109" s="2" t="s">
        <v>25</v>
      </c>
      <c r="J109">
        <f t="shared" si="2"/>
        <v>7500000</v>
      </c>
    </row>
    <row r="110" spans="1:10" ht="17" x14ac:dyDescent="0.2">
      <c r="A110" s="3" t="s">
        <v>144</v>
      </c>
      <c r="B110" s="5">
        <v>45234</v>
      </c>
      <c r="C110" s="3" t="s">
        <v>8</v>
      </c>
      <c r="D110" s="3" t="s">
        <v>9</v>
      </c>
      <c r="E110" s="3" t="s">
        <v>61</v>
      </c>
      <c r="F110" s="3">
        <v>1</v>
      </c>
      <c r="G110" s="3">
        <v>2100000</v>
      </c>
      <c r="H110" s="2"/>
      <c r="I110" s="2" t="s">
        <v>8</v>
      </c>
      <c r="J110">
        <f t="shared" si="2"/>
        <v>2100000</v>
      </c>
    </row>
    <row r="111" spans="1:10" ht="17" x14ac:dyDescent="0.2">
      <c r="A111" s="3" t="s">
        <v>145</v>
      </c>
      <c r="B111" s="5">
        <v>45264</v>
      </c>
      <c r="C111" s="3" t="s">
        <v>13</v>
      </c>
      <c r="D111" s="3" t="s">
        <v>14</v>
      </c>
      <c r="E111" s="3" t="s">
        <v>68</v>
      </c>
      <c r="F111" s="3">
        <v>1</v>
      </c>
      <c r="G111" s="3">
        <v>25000000</v>
      </c>
      <c r="H111" s="2"/>
      <c r="I111" s="2" t="s">
        <v>13</v>
      </c>
      <c r="J111">
        <f t="shared" si="2"/>
        <v>25000000</v>
      </c>
    </row>
    <row r="112" spans="1:10" ht="17" x14ac:dyDescent="0.2">
      <c r="A112" s="3" t="s">
        <v>146</v>
      </c>
      <c r="B112" s="5">
        <v>45029</v>
      </c>
      <c r="C112" s="3" t="s">
        <v>17</v>
      </c>
      <c r="D112" s="3" t="s">
        <v>18</v>
      </c>
      <c r="E112" s="3" t="s">
        <v>10</v>
      </c>
      <c r="F112" s="3">
        <v>1</v>
      </c>
      <c r="G112" s="3">
        <v>25000000</v>
      </c>
      <c r="H112" s="2"/>
      <c r="I112" s="2" t="s">
        <v>17</v>
      </c>
      <c r="J112">
        <f t="shared" si="2"/>
        <v>25000000</v>
      </c>
    </row>
    <row r="113" spans="1:10" ht="17" x14ac:dyDescent="0.2">
      <c r="A113" s="3" t="s">
        <v>147</v>
      </c>
      <c r="B113" s="5">
        <v>45030</v>
      </c>
      <c r="C113" s="3" t="s">
        <v>22</v>
      </c>
      <c r="D113" s="3" t="s">
        <v>168</v>
      </c>
      <c r="E113" s="3" t="s">
        <v>15</v>
      </c>
      <c r="F113" s="2"/>
      <c r="G113" s="3">
        <v>1800000</v>
      </c>
      <c r="H113" s="2"/>
      <c r="I113" s="2" t="s">
        <v>22</v>
      </c>
      <c r="J113">
        <f t="shared" si="2"/>
        <v>0</v>
      </c>
    </row>
    <row r="114" spans="1:10" ht="17" x14ac:dyDescent="0.2">
      <c r="A114" s="3" t="s">
        <v>148</v>
      </c>
      <c r="B114" s="5">
        <v>45031</v>
      </c>
      <c r="C114" s="3" t="s">
        <v>25</v>
      </c>
      <c r="D114" s="3" t="s">
        <v>14</v>
      </c>
      <c r="E114" s="3" t="s">
        <v>149</v>
      </c>
      <c r="F114" s="3">
        <v>1</v>
      </c>
      <c r="G114" s="3">
        <v>2200000</v>
      </c>
      <c r="H114" s="2"/>
      <c r="I114" s="2" t="s">
        <v>25</v>
      </c>
      <c r="J114">
        <f t="shared" si="2"/>
        <v>2200000</v>
      </c>
    </row>
    <row r="115" spans="1:10" ht="17" x14ac:dyDescent="0.2">
      <c r="A115" s="3" t="s">
        <v>150</v>
      </c>
      <c r="B115" s="5">
        <v>45031</v>
      </c>
      <c r="C115" s="3" t="s">
        <v>8</v>
      </c>
      <c r="D115" s="3" t="s">
        <v>9</v>
      </c>
      <c r="E115" s="3" t="s">
        <v>23</v>
      </c>
      <c r="F115" s="3">
        <v>1</v>
      </c>
      <c r="G115" s="3">
        <v>6500000</v>
      </c>
      <c r="H115" s="2"/>
      <c r="I115" s="2" t="s">
        <v>8</v>
      </c>
      <c r="J115">
        <f t="shared" si="2"/>
        <v>6500000</v>
      </c>
    </row>
    <row r="116" spans="1:10" ht="17" x14ac:dyDescent="0.2">
      <c r="A116" s="3" t="s">
        <v>151</v>
      </c>
      <c r="B116" s="5">
        <v>45032</v>
      </c>
      <c r="C116" s="3" t="s">
        <v>13</v>
      </c>
      <c r="D116" s="3" t="s">
        <v>14</v>
      </c>
      <c r="E116" s="3" t="s">
        <v>26</v>
      </c>
      <c r="F116" s="3">
        <v>1</v>
      </c>
      <c r="G116" s="3">
        <v>2500000</v>
      </c>
      <c r="H116" s="2"/>
      <c r="I116" s="2" t="s">
        <v>13</v>
      </c>
      <c r="J116">
        <f t="shared" si="2"/>
        <v>2500000</v>
      </c>
    </row>
    <row r="117" spans="1:10" ht="17" x14ac:dyDescent="0.2">
      <c r="A117" s="3" t="s">
        <v>152</v>
      </c>
      <c r="B117" s="5">
        <v>45033</v>
      </c>
      <c r="C117" s="3" t="s">
        <v>17</v>
      </c>
      <c r="D117" s="3" t="s">
        <v>18</v>
      </c>
      <c r="E117" s="3" t="s">
        <v>29</v>
      </c>
      <c r="F117" s="3">
        <v>1</v>
      </c>
      <c r="G117" s="3">
        <v>7500000</v>
      </c>
      <c r="H117" s="2"/>
      <c r="I117" s="2" t="s">
        <v>17</v>
      </c>
      <c r="J117">
        <f t="shared" si="2"/>
        <v>7500000</v>
      </c>
    </row>
    <row r="118" spans="1:10" ht="17" x14ac:dyDescent="0.2">
      <c r="A118" s="3" t="s">
        <v>153</v>
      </c>
      <c r="B118" s="5">
        <v>45034</v>
      </c>
      <c r="C118" s="3" t="s">
        <v>22</v>
      </c>
      <c r="D118" s="3" t="s">
        <v>168</v>
      </c>
      <c r="E118" s="3" t="s">
        <v>61</v>
      </c>
      <c r="F118" s="3">
        <v>2</v>
      </c>
      <c r="G118" s="3">
        <v>2100000</v>
      </c>
      <c r="H118" s="2"/>
      <c r="I118" s="2" t="s">
        <v>22</v>
      </c>
      <c r="J118">
        <f t="shared" si="2"/>
        <v>4200000</v>
      </c>
    </row>
    <row r="119" spans="1:10" ht="17" x14ac:dyDescent="0.2">
      <c r="A119" s="3" t="s">
        <v>154</v>
      </c>
      <c r="B119" s="5">
        <v>45034</v>
      </c>
      <c r="C119" s="3" t="s">
        <v>25</v>
      </c>
      <c r="D119" s="3" t="s">
        <v>14</v>
      </c>
      <c r="E119" s="3" t="s">
        <v>63</v>
      </c>
      <c r="F119" s="2"/>
      <c r="G119" s="3">
        <v>450</v>
      </c>
      <c r="H119" s="2"/>
      <c r="I119" s="2" t="s">
        <v>25</v>
      </c>
      <c r="J119">
        <f t="shared" si="2"/>
        <v>0</v>
      </c>
    </row>
    <row r="120" spans="1:10" ht="17" x14ac:dyDescent="0.2">
      <c r="A120" s="3" t="s">
        <v>155</v>
      </c>
      <c r="B120" s="5">
        <v>45035</v>
      </c>
      <c r="C120" s="3" t="s">
        <v>8</v>
      </c>
      <c r="D120" s="3" t="s">
        <v>9</v>
      </c>
      <c r="E120" s="3" t="s">
        <v>10</v>
      </c>
      <c r="F120" s="3">
        <v>1</v>
      </c>
      <c r="G120" s="3">
        <v>25000000</v>
      </c>
      <c r="H120" s="2"/>
      <c r="I120" s="2" t="s">
        <v>8</v>
      </c>
      <c r="J120">
        <f t="shared" si="2"/>
        <v>25000000</v>
      </c>
    </row>
    <row r="121" spans="1:10" ht="17" x14ac:dyDescent="0.2">
      <c r="A121" s="3" t="s">
        <v>156</v>
      </c>
      <c r="B121" s="5">
        <v>45036</v>
      </c>
      <c r="C121" s="3" t="s">
        <v>13</v>
      </c>
      <c r="D121" s="3" t="s">
        <v>14</v>
      </c>
      <c r="E121" s="3" t="s">
        <v>15</v>
      </c>
      <c r="F121" s="3">
        <v>1</v>
      </c>
      <c r="G121" s="3">
        <v>1800000</v>
      </c>
      <c r="H121" s="2"/>
      <c r="I121" s="2" t="s">
        <v>13</v>
      </c>
      <c r="J121">
        <f t="shared" si="2"/>
        <v>1800000</v>
      </c>
    </row>
    <row r="122" spans="1:10" ht="17" x14ac:dyDescent="0.2">
      <c r="A122" s="3" t="s">
        <v>157</v>
      </c>
      <c r="B122" s="5">
        <v>45037</v>
      </c>
      <c r="C122" s="3" t="s">
        <v>17</v>
      </c>
      <c r="D122" s="3" t="s">
        <v>18</v>
      </c>
      <c r="E122" s="3" t="s">
        <v>19</v>
      </c>
      <c r="F122" s="3">
        <v>1</v>
      </c>
      <c r="G122" s="3">
        <v>2200000</v>
      </c>
      <c r="H122" s="2"/>
      <c r="I122" s="2" t="s">
        <v>17</v>
      </c>
      <c r="J122">
        <f t="shared" si="2"/>
        <v>2200000</v>
      </c>
    </row>
    <row r="123" spans="1:10" ht="17" x14ac:dyDescent="0.2">
      <c r="A123" s="3" t="s">
        <v>158</v>
      </c>
      <c r="B123" s="5">
        <v>45038</v>
      </c>
      <c r="C123" s="3" t="s">
        <v>22</v>
      </c>
      <c r="D123" s="3" t="s">
        <v>168</v>
      </c>
      <c r="E123" s="3" t="s">
        <v>23</v>
      </c>
      <c r="F123" s="3">
        <v>1</v>
      </c>
      <c r="G123" s="3">
        <v>6500000</v>
      </c>
      <c r="H123" s="2"/>
      <c r="I123" s="2" t="s">
        <v>22</v>
      </c>
      <c r="J123">
        <f t="shared" si="2"/>
        <v>6500000</v>
      </c>
    </row>
    <row r="124" spans="1:10" ht="17" x14ac:dyDescent="0.2">
      <c r="A124" s="3" t="s">
        <v>159</v>
      </c>
      <c r="B124" s="5">
        <v>45039</v>
      </c>
      <c r="C124" s="3" t="s">
        <v>25</v>
      </c>
      <c r="D124" s="3" t="s">
        <v>14</v>
      </c>
      <c r="E124" s="3" t="s">
        <v>15</v>
      </c>
      <c r="F124" s="2"/>
      <c r="G124" s="3">
        <v>6500000</v>
      </c>
      <c r="H124" s="2"/>
      <c r="I124" s="2" t="s">
        <v>25</v>
      </c>
      <c r="J124">
        <f t="shared" si="2"/>
        <v>0</v>
      </c>
    </row>
    <row r="125" spans="1:10" ht="17" x14ac:dyDescent="0.2">
      <c r="A125" s="3" t="s">
        <v>160</v>
      </c>
      <c r="B125" s="5">
        <v>45039</v>
      </c>
      <c r="C125" s="3" t="s">
        <v>8</v>
      </c>
      <c r="D125" s="3" t="s">
        <v>9</v>
      </c>
      <c r="E125" s="3" t="s">
        <v>29</v>
      </c>
      <c r="F125" s="3">
        <v>1</v>
      </c>
      <c r="G125" s="3">
        <v>7500000</v>
      </c>
      <c r="H125" s="2"/>
      <c r="I125" s="2" t="s">
        <v>8</v>
      </c>
      <c r="J125">
        <f t="shared" si="2"/>
        <v>7500000</v>
      </c>
    </row>
    <row r="126" spans="1:10" ht="17" x14ac:dyDescent="0.2">
      <c r="A126" s="3" t="s">
        <v>161</v>
      </c>
      <c r="B126" s="5">
        <v>45040</v>
      </c>
      <c r="C126" s="3" t="s">
        <v>13</v>
      </c>
      <c r="D126" s="3" t="s">
        <v>14</v>
      </c>
      <c r="E126" s="3" t="s">
        <v>61</v>
      </c>
      <c r="F126" s="3">
        <v>1</v>
      </c>
      <c r="G126" s="3">
        <v>2100000</v>
      </c>
      <c r="H126" s="2"/>
      <c r="I126" s="2" t="s">
        <v>13</v>
      </c>
      <c r="J126">
        <f t="shared" si="2"/>
        <v>2100000</v>
      </c>
    </row>
    <row r="127" spans="1:10" ht="17" x14ac:dyDescent="0.2">
      <c r="A127" s="3" t="s">
        <v>162</v>
      </c>
      <c r="B127" s="5">
        <v>45041</v>
      </c>
      <c r="C127" s="3" t="s">
        <v>17</v>
      </c>
      <c r="D127" s="3" t="s">
        <v>18</v>
      </c>
      <c r="E127" s="3" t="s">
        <v>73</v>
      </c>
      <c r="F127" s="3">
        <v>5</v>
      </c>
      <c r="G127" s="3">
        <v>450</v>
      </c>
      <c r="H127" s="3" t="s">
        <v>11</v>
      </c>
      <c r="I127" s="2" t="s">
        <v>17</v>
      </c>
      <c r="J127">
        <f t="shared" si="2"/>
        <v>2250</v>
      </c>
    </row>
    <row r="128" spans="1:10" ht="17" x14ac:dyDescent="0.2">
      <c r="A128" s="3" t="s">
        <v>163</v>
      </c>
      <c r="B128" s="5">
        <v>45042</v>
      </c>
      <c r="C128" s="3" t="s">
        <v>22</v>
      </c>
      <c r="D128" s="3" t="s">
        <v>168</v>
      </c>
      <c r="E128" s="3" t="s">
        <v>10</v>
      </c>
      <c r="F128" s="3">
        <v>1</v>
      </c>
      <c r="G128" s="3">
        <v>25000000</v>
      </c>
      <c r="H128" s="2"/>
      <c r="I128" s="2" t="s">
        <v>22</v>
      </c>
      <c r="J128">
        <f t="shared" si="2"/>
        <v>25000000</v>
      </c>
    </row>
    <row r="129" spans="1:10" ht="17" x14ac:dyDescent="0.2">
      <c r="A129" s="3" t="s">
        <v>164</v>
      </c>
      <c r="B129" s="5">
        <v>45043</v>
      </c>
      <c r="C129" s="3" t="s">
        <v>25</v>
      </c>
      <c r="D129" s="3" t="s">
        <v>14</v>
      </c>
      <c r="E129" s="3" t="s">
        <v>15</v>
      </c>
      <c r="F129" s="3">
        <v>1</v>
      </c>
      <c r="G129" s="3">
        <v>1800000</v>
      </c>
      <c r="H129" s="2"/>
      <c r="I129" s="2" t="s">
        <v>25</v>
      </c>
      <c r="J129">
        <f t="shared" si="2"/>
        <v>1800000</v>
      </c>
    </row>
    <row r="130" spans="1:10" ht="17" x14ac:dyDescent="0.2">
      <c r="A130" s="3" t="s">
        <v>165</v>
      </c>
      <c r="B130" s="5">
        <v>45044</v>
      </c>
      <c r="C130" s="3" t="s">
        <v>8</v>
      </c>
      <c r="D130" s="3" t="s">
        <v>9</v>
      </c>
      <c r="E130" s="3" t="s">
        <v>19</v>
      </c>
      <c r="F130" s="3">
        <v>2</v>
      </c>
      <c r="G130" s="3">
        <v>2200000</v>
      </c>
      <c r="H130" s="2"/>
      <c r="I130" s="2" t="s">
        <v>8</v>
      </c>
      <c r="J130">
        <f t="shared" si="2"/>
        <v>4400000</v>
      </c>
    </row>
    <row r="131" spans="1:10" ht="17" x14ac:dyDescent="0.2">
      <c r="A131" s="3" t="s">
        <v>166</v>
      </c>
      <c r="B131" s="5">
        <v>45045</v>
      </c>
      <c r="C131" s="3" t="s">
        <v>13</v>
      </c>
      <c r="D131" s="3" t="s">
        <v>14</v>
      </c>
      <c r="E131" s="3" t="s">
        <v>15</v>
      </c>
      <c r="F131" s="3">
        <v>1</v>
      </c>
      <c r="G131" s="3">
        <v>1800000</v>
      </c>
      <c r="H131" s="2"/>
      <c r="I131" s="2" t="s">
        <v>13</v>
      </c>
      <c r="J131">
        <f t="shared" ref="J131:J132" si="3">F131*G131</f>
        <v>1800000</v>
      </c>
    </row>
    <row r="132" spans="1:10" ht="17" x14ac:dyDescent="0.2">
      <c r="A132" s="3" t="s">
        <v>167</v>
      </c>
      <c r="B132" s="5">
        <v>45046</v>
      </c>
      <c r="C132" s="3" t="s">
        <v>17</v>
      </c>
      <c r="D132" s="3" t="s">
        <v>18</v>
      </c>
      <c r="E132" s="3" t="s">
        <v>26</v>
      </c>
      <c r="F132" s="3">
        <v>1</v>
      </c>
      <c r="G132" s="3">
        <v>2500000</v>
      </c>
      <c r="H132" s="2"/>
      <c r="I132" s="2" t="s">
        <v>17</v>
      </c>
      <c r="J132">
        <f t="shared" si="3"/>
        <v>2500000</v>
      </c>
    </row>
  </sheetData>
  <phoneticPr fontId="5" type="noConversion"/>
  <conditionalFormatting sqref="A2:A1048576">
    <cfRule type="duplicateValues" dxfId="6" priority="9"/>
  </conditionalFormatting>
  <conditionalFormatting sqref="A1">
    <cfRule type="duplicateValues" dxfId="5" priority="6"/>
  </conditionalFormatting>
  <conditionalFormatting sqref="A1">
    <cfRule type="duplicateValues" dxfId="4" priority="5"/>
  </conditionalFormatting>
  <conditionalFormatting sqref="F1">
    <cfRule type="duplicateValues" dxfId="3" priority="2"/>
  </conditionalFormatting>
  <conditionalFormatting sqref="F1">
    <cfRule type="duplicateValues" dxfId="2" priority="1"/>
  </conditionalFormatting>
  <conditionalFormatting sqref="A2:A1048576">
    <cfRule type="duplicateValues" dxfId="1" priority="1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DD4E-77FC-3D40-B1F4-9FA1B5EEF6DB}">
  <dimension ref="A1:O122"/>
  <sheetViews>
    <sheetView topLeftCell="B1" workbookViewId="0">
      <selection activeCell="G27" sqref="G27"/>
    </sheetView>
  </sheetViews>
  <sheetFormatPr baseColWidth="10" defaultRowHeight="16" x14ac:dyDescent="0.2"/>
  <cols>
    <col min="1" max="1" width="12.1640625" customWidth="1"/>
    <col min="2" max="2" width="26.5" customWidth="1"/>
    <col min="3" max="4" width="15.83203125" customWidth="1"/>
    <col min="6" max="6" width="14.33203125" style="12" customWidth="1"/>
    <col min="7" max="7" width="12.33203125" customWidth="1"/>
    <col min="8" max="8" width="11" customWidth="1"/>
    <col min="9" max="9" width="14.6640625" customWidth="1"/>
  </cols>
  <sheetData>
    <row r="1" spans="1:15" x14ac:dyDescent="0.2">
      <c r="A1" s="8" t="s">
        <v>176</v>
      </c>
      <c r="B1" s="8" t="s">
        <v>177</v>
      </c>
      <c r="C1" s="8"/>
      <c r="D1" s="8" t="s">
        <v>178</v>
      </c>
      <c r="E1" s="8" t="s">
        <v>179</v>
      </c>
      <c r="F1" s="10" t="s">
        <v>180</v>
      </c>
      <c r="G1" s="8" t="s">
        <v>181</v>
      </c>
      <c r="H1" s="13" t="s">
        <v>312</v>
      </c>
      <c r="I1" s="13" t="s">
        <v>313</v>
      </c>
      <c r="J1" s="8" t="s">
        <v>181</v>
      </c>
    </row>
    <row r="2" spans="1:15" x14ac:dyDescent="0.2">
      <c r="A2" s="9" t="s">
        <v>182</v>
      </c>
      <c r="B2" s="9" t="s">
        <v>287</v>
      </c>
      <c r="C2" s="9">
        <v>988776655</v>
      </c>
      <c r="D2" s="9">
        <v>500000</v>
      </c>
      <c r="E2" s="9" t="s">
        <v>183</v>
      </c>
      <c r="F2" s="11">
        <v>30000</v>
      </c>
      <c r="G2" s="9" t="s">
        <v>184</v>
      </c>
      <c r="H2">
        <f>IF(E2="VIP",D2*10%,IF(E2="NORMAL",D2*5%,0))</f>
        <v>50000</v>
      </c>
      <c r="I2" s="12">
        <f>D2-H2-F2</f>
        <v>420000</v>
      </c>
      <c r="J2" s="9" t="s">
        <v>184</v>
      </c>
      <c r="K2">
        <f>SUMIF($G$2:$G$101,J2,$I$2:$I$101)</f>
        <v>68910000</v>
      </c>
    </row>
    <row r="3" spans="1:15" x14ac:dyDescent="0.2">
      <c r="A3" s="9" t="s">
        <v>185</v>
      </c>
      <c r="B3" s="9" t="s">
        <v>288</v>
      </c>
      <c r="C3" s="9">
        <v>912345678</v>
      </c>
      <c r="D3" s="9">
        <v>1500000</v>
      </c>
      <c r="E3" s="9" t="s">
        <v>186</v>
      </c>
      <c r="F3" s="11">
        <v>15000</v>
      </c>
      <c r="G3" s="9" t="s">
        <v>187</v>
      </c>
      <c r="H3">
        <f t="shared" ref="H3:H66" si="0">IF(E3="VIP",D3*10%,IF(E3="NORMAL",D3*5%,0))</f>
        <v>75000</v>
      </c>
      <c r="I3" s="12">
        <f t="shared" ref="I3:I66" si="1">D3-H3-F3</f>
        <v>1410000</v>
      </c>
    </row>
    <row r="4" spans="1:15" x14ac:dyDescent="0.2">
      <c r="A4" s="9" t="s">
        <v>188</v>
      </c>
      <c r="B4" s="9" t="s">
        <v>289</v>
      </c>
      <c r="C4" s="9">
        <v>905554433</v>
      </c>
      <c r="D4" s="9">
        <v>2000000</v>
      </c>
      <c r="E4" s="9"/>
      <c r="F4" s="11">
        <v>30000</v>
      </c>
      <c r="G4" s="9" t="s">
        <v>189</v>
      </c>
      <c r="H4">
        <f t="shared" si="0"/>
        <v>0</v>
      </c>
      <c r="I4" s="12">
        <f t="shared" si="1"/>
        <v>1970000</v>
      </c>
    </row>
    <row r="5" spans="1:15" x14ac:dyDescent="0.2">
      <c r="A5" s="9" t="s">
        <v>190</v>
      </c>
      <c r="B5" s="9" t="s">
        <v>290</v>
      </c>
      <c r="C5" s="9">
        <v>977112233</v>
      </c>
      <c r="D5" s="9">
        <v>500000</v>
      </c>
      <c r="E5" s="9" t="s">
        <v>186</v>
      </c>
      <c r="F5" s="11">
        <v>15000</v>
      </c>
      <c r="G5" s="9" t="s">
        <v>184</v>
      </c>
      <c r="H5">
        <f t="shared" si="0"/>
        <v>25000</v>
      </c>
      <c r="I5" s="12">
        <f t="shared" si="1"/>
        <v>460000</v>
      </c>
    </row>
    <row r="6" spans="1:15" x14ac:dyDescent="0.2">
      <c r="A6" s="9" t="s">
        <v>191</v>
      </c>
      <c r="B6" s="9" t="s">
        <v>291</v>
      </c>
      <c r="C6" s="9">
        <v>944889900</v>
      </c>
      <c r="D6" s="9">
        <v>1500000</v>
      </c>
      <c r="E6" s="9" t="s">
        <v>183</v>
      </c>
      <c r="F6" s="11">
        <v>30000</v>
      </c>
      <c r="G6" s="9" t="s">
        <v>189</v>
      </c>
      <c r="H6">
        <f t="shared" si="0"/>
        <v>150000</v>
      </c>
      <c r="I6" s="12">
        <f t="shared" si="1"/>
        <v>1320000</v>
      </c>
      <c r="L6" s="15" t="s">
        <v>315</v>
      </c>
      <c r="M6" s="15"/>
      <c r="N6" s="15"/>
      <c r="O6">
        <f>COUNTA(A2:A101)</f>
        <v>100</v>
      </c>
    </row>
    <row r="7" spans="1:15" x14ac:dyDescent="0.2">
      <c r="A7" s="9" t="s">
        <v>192</v>
      </c>
      <c r="B7" s="9" t="s">
        <v>292</v>
      </c>
      <c r="C7" s="9">
        <v>933221100</v>
      </c>
      <c r="D7" s="9">
        <v>2000000</v>
      </c>
      <c r="E7" s="9"/>
      <c r="F7" s="11">
        <v>15000</v>
      </c>
      <c r="G7" s="9" t="s">
        <v>184</v>
      </c>
      <c r="H7">
        <f t="shared" si="0"/>
        <v>0</v>
      </c>
      <c r="I7" s="12">
        <f t="shared" si="1"/>
        <v>1985000</v>
      </c>
    </row>
    <row r="8" spans="1:15" x14ac:dyDescent="0.2">
      <c r="A8" s="9" t="s">
        <v>193</v>
      </c>
      <c r="B8" s="9" t="s">
        <v>293</v>
      </c>
      <c r="C8" s="9">
        <v>966445566</v>
      </c>
      <c r="D8" s="9">
        <v>500000</v>
      </c>
      <c r="E8" s="9" t="s">
        <v>186</v>
      </c>
      <c r="F8" s="11">
        <v>30000</v>
      </c>
      <c r="G8" s="9" t="s">
        <v>187</v>
      </c>
      <c r="H8">
        <f t="shared" si="0"/>
        <v>25000</v>
      </c>
      <c r="I8" s="12">
        <f t="shared" si="1"/>
        <v>445000</v>
      </c>
      <c r="L8" s="16" t="s">
        <v>316</v>
      </c>
      <c r="M8" s="16"/>
      <c r="O8">
        <f>COUNTIF(G2:G101,"Hoàn thành")</f>
        <v>58</v>
      </c>
    </row>
    <row r="9" spans="1:15" x14ac:dyDescent="0.2">
      <c r="A9" s="9" t="s">
        <v>194</v>
      </c>
      <c r="B9" s="9" t="s">
        <v>294</v>
      </c>
      <c r="C9" s="9">
        <v>922778899</v>
      </c>
      <c r="D9" s="9">
        <v>1500000</v>
      </c>
      <c r="E9" s="9" t="s">
        <v>183</v>
      </c>
      <c r="F9" s="11">
        <v>15000</v>
      </c>
      <c r="G9" s="9" t="s">
        <v>184</v>
      </c>
      <c r="H9">
        <f t="shared" si="0"/>
        <v>150000</v>
      </c>
      <c r="I9" s="12">
        <f t="shared" si="1"/>
        <v>1335000</v>
      </c>
    </row>
    <row r="10" spans="1:15" x14ac:dyDescent="0.2">
      <c r="A10" s="9" t="s">
        <v>195</v>
      </c>
      <c r="B10" s="9" t="s">
        <v>295</v>
      </c>
      <c r="C10" s="9">
        <v>911002233</v>
      </c>
      <c r="D10" s="9">
        <v>2000000</v>
      </c>
      <c r="E10" s="9" t="s">
        <v>186</v>
      </c>
      <c r="F10" s="11">
        <v>30000</v>
      </c>
      <c r="G10" s="9" t="s">
        <v>189</v>
      </c>
      <c r="H10">
        <f t="shared" si="0"/>
        <v>100000</v>
      </c>
      <c r="I10" s="12">
        <f t="shared" si="1"/>
        <v>1870000</v>
      </c>
      <c r="M10" t="s">
        <v>317</v>
      </c>
      <c r="O10">
        <f>COUNTIF(G2:G101,"Hoàn thành")/COUNTA(A2:A101)</f>
        <v>0.57999999999999996</v>
      </c>
    </row>
    <row r="11" spans="1:15" x14ac:dyDescent="0.2">
      <c r="A11" s="9" t="s">
        <v>196</v>
      </c>
      <c r="B11" s="9" t="s">
        <v>296</v>
      </c>
      <c r="C11" s="9">
        <v>988009911</v>
      </c>
      <c r="D11" s="9">
        <v>500000</v>
      </c>
      <c r="E11" s="9"/>
      <c r="F11" s="11">
        <v>15000</v>
      </c>
      <c r="G11" s="9" t="s">
        <v>184</v>
      </c>
      <c r="H11">
        <f t="shared" si="0"/>
        <v>0</v>
      </c>
      <c r="I11" s="12">
        <f t="shared" si="1"/>
        <v>485000</v>
      </c>
    </row>
    <row r="12" spans="1:15" x14ac:dyDescent="0.2">
      <c r="A12" s="9" t="s">
        <v>197</v>
      </c>
      <c r="B12" s="9" t="s">
        <v>297</v>
      </c>
      <c r="C12" s="9">
        <v>900112233</v>
      </c>
      <c r="D12" s="9">
        <v>1500000</v>
      </c>
      <c r="E12" s="9" t="s">
        <v>183</v>
      </c>
      <c r="F12" s="11">
        <v>30000</v>
      </c>
      <c r="G12" s="9" t="s">
        <v>184</v>
      </c>
      <c r="H12">
        <f t="shared" si="0"/>
        <v>150000</v>
      </c>
      <c r="I12" s="12">
        <f t="shared" si="1"/>
        <v>1320000</v>
      </c>
    </row>
    <row r="13" spans="1:15" x14ac:dyDescent="0.2">
      <c r="A13" s="9" t="s">
        <v>198</v>
      </c>
      <c r="B13" s="9" t="s">
        <v>298</v>
      </c>
      <c r="C13" s="9">
        <v>977443322</v>
      </c>
      <c r="D13" s="9">
        <v>2000000</v>
      </c>
      <c r="E13" s="9" t="s">
        <v>186</v>
      </c>
      <c r="F13" s="11">
        <v>15000</v>
      </c>
      <c r="G13" s="9" t="s">
        <v>187</v>
      </c>
      <c r="H13">
        <f t="shared" si="0"/>
        <v>100000</v>
      </c>
      <c r="I13" s="12">
        <f t="shared" si="1"/>
        <v>1885000</v>
      </c>
    </row>
    <row r="14" spans="1:15" x14ac:dyDescent="0.2">
      <c r="A14" s="9" t="s">
        <v>199</v>
      </c>
      <c r="B14" s="9" t="s">
        <v>299</v>
      </c>
      <c r="C14" s="9">
        <v>944332211</v>
      </c>
      <c r="D14" s="9">
        <v>500000</v>
      </c>
      <c r="E14" s="9"/>
      <c r="F14" s="11">
        <v>30000</v>
      </c>
      <c r="G14" s="9" t="s">
        <v>189</v>
      </c>
      <c r="H14">
        <f t="shared" si="0"/>
        <v>0</v>
      </c>
      <c r="I14" s="12">
        <f t="shared" si="1"/>
        <v>470000</v>
      </c>
    </row>
    <row r="15" spans="1:15" x14ac:dyDescent="0.2">
      <c r="A15" s="9" t="s">
        <v>200</v>
      </c>
      <c r="B15" s="9" t="s">
        <v>300</v>
      </c>
      <c r="C15" s="9">
        <v>911223344</v>
      </c>
      <c r="D15" s="9">
        <v>1500000</v>
      </c>
      <c r="E15" s="9" t="s">
        <v>183</v>
      </c>
      <c r="F15" s="11">
        <v>15000</v>
      </c>
      <c r="G15" s="9" t="s">
        <v>184</v>
      </c>
      <c r="H15">
        <f t="shared" si="0"/>
        <v>150000</v>
      </c>
      <c r="I15" s="12">
        <f t="shared" si="1"/>
        <v>1335000</v>
      </c>
    </row>
    <row r="16" spans="1:15" x14ac:dyDescent="0.2">
      <c r="A16" s="9" t="s">
        <v>201</v>
      </c>
      <c r="B16" s="9" t="s">
        <v>301</v>
      </c>
      <c r="C16" s="9">
        <v>933445566</v>
      </c>
      <c r="D16" s="9">
        <v>2000000</v>
      </c>
      <c r="E16" s="9" t="s">
        <v>186</v>
      </c>
      <c r="F16" s="11">
        <v>30000</v>
      </c>
      <c r="G16" s="9" t="s">
        <v>184</v>
      </c>
      <c r="H16">
        <f t="shared" si="0"/>
        <v>100000</v>
      </c>
      <c r="I16" s="12">
        <f t="shared" si="1"/>
        <v>1870000</v>
      </c>
    </row>
    <row r="17" spans="1:9" x14ac:dyDescent="0.2">
      <c r="A17" s="9" t="s">
        <v>202</v>
      </c>
      <c r="B17" s="9" t="s">
        <v>302</v>
      </c>
      <c r="C17" s="9">
        <v>966778899</v>
      </c>
      <c r="D17" s="9">
        <v>500000</v>
      </c>
      <c r="E17" s="9"/>
      <c r="F17" s="11">
        <v>15000</v>
      </c>
      <c r="G17" s="9" t="s">
        <v>189</v>
      </c>
      <c r="H17">
        <f t="shared" si="0"/>
        <v>0</v>
      </c>
      <c r="I17" s="12">
        <f t="shared" si="1"/>
        <v>485000</v>
      </c>
    </row>
    <row r="18" spans="1:9" x14ac:dyDescent="0.2">
      <c r="A18" s="9" t="s">
        <v>203</v>
      </c>
      <c r="B18" s="9" t="s">
        <v>303</v>
      </c>
      <c r="C18" s="9">
        <v>922334455</v>
      </c>
      <c r="D18" s="9">
        <v>1500000</v>
      </c>
      <c r="E18" s="9" t="s">
        <v>183</v>
      </c>
      <c r="F18" s="11">
        <v>30000</v>
      </c>
      <c r="G18" s="9" t="s">
        <v>184</v>
      </c>
      <c r="H18">
        <f t="shared" si="0"/>
        <v>150000</v>
      </c>
      <c r="I18" s="12">
        <f t="shared" si="1"/>
        <v>1320000</v>
      </c>
    </row>
    <row r="19" spans="1:9" x14ac:dyDescent="0.2">
      <c r="A19" s="9" t="s">
        <v>204</v>
      </c>
      <c r="B19" s="9" t="s">
        <v>304</v>
      </c>
      <c r="C19" s="9">
        <v>988112233</v>
      </c>
      <c r="D19" s="9">
        <v>2000000</v>
      </c>
      <c r="E19" s="9" t="s">
        <v>186</v>
      </c>
      <c r="F19" s="11">
        <v>15000</v>
      </c>
      <c r="G19" s="9" t="s">
        <v>187</v>
      </c>
      <c r="H19">
        <f t="shared" si="0"/>
        <v>100000</v>
      </c>
      <c r="I19" s="12">
        <f t="shared" si="1"/>
        <v>1885000</v>
      </c>
    </row>
    <row r="20" spans="1:9" x14ac:dyDescent="0.2">
      <c r="A20" s="9" t="s">
        <v>205</v>
      </c>
      <c r="B20" s="9" t="s">
        <v>305</v>
      </c>
      <c r="C20" s="9">
        <v>900334455</v>
      </c>
      <c r="D20" s="9">
        <v>500000</v>
      </c>
      <c r="E20" s="9" t="s">
        <v>183</v>
      </c>
      <c r="F20" s="11">
        <v>30000</v>
      </c>
      <c r="G20" s="9" t="s">
        <v>184</v>
      </c>
      <c r="H20">
        <f t="shared" si="0"/>
        <v>50000</v>
      </c>
      <c r="I20" s="12">
        <f t="shared" si="1"/>
        <v>420000</v>
      </c>
    </row>
    <row r="21" spans="1:9" x14ac:dyDescent="0.2">
      <c r="A21" s="9" t="s">
        <v>206</v>
      </c>
      <c r="B21" s="9" t="s">
        <v>306</v>
      </c>
      <c r="C21" s="9">
        <v>977665544</v>
      </c>
      <c r="D21" s="9">
        <v>1500000</v>
      </c>
      <c r="E21" s="9"/>
      <c r="F21" s="11">
        <v>15000</v>
      </c>
      <c r="G21" s="9" t="s">
        <v>189</v>
      </c>
      <c r="H21">
        <f t="shared" si="0"/>
        <v>0</v>
      </c>
      <c r="I21" s="12">
        <f t="shared" si="1"/>
        <v>1485000</v>
      </c>
    </row>
    <row r="22" spans="1:9" x14ac:dyDescent="0.2">
      <c r="A22" s="9" t="s">
        <v>207</v>
      </c>
      <c r="B22" s="9" t="s">
        <v>307</v>
      </c>
      <c r="C22" s="9">
        <v>944778899</v>
      </c>
      <c r="D22" s="9">
        <v>2000000</v>
      </c>
      <c r="E22" s="9" t="s">
        <v>186</v>
      </c>
      <c r="F22" s="11">
        <v>30000</v>
      </c>
      <c r="G22" s="9" t="s">
        <v>184</v>
      </c>
      <c r="H22">
        <f t="shared" si="0"/>
        <v>100000</v>
      </c>
      <c r="I22" s="12">
        <f t="shared" si="1"/>
        <v>1870000</v>
      </c>
    </row>
    <row r="23" spans="1:9" x14ac:dyDescent="0.2">
      <c r="A23" s="9" t="s">
        <v>208</v>
      </c>
      <c r="B23" s="9" t="s">
        <v>308</v>
      </c>
      <c r="C23" s="9">
        <v>911556677</v>
      </c>
      <c r="D23" s="9">
        <v>500000</v>
      </c>
      <c r="E23" s="9" t="s">
        <v>183</v>
      </c>
      <c r="F23" s="11">
        <v>15000</v>
      </c>
      <c r="G23" s="9" t="s">
        <v>184</v>
      </c>
      <c r="H23">
        <f t="shared" si="0"/>
        <v>50000</v>
      </c>
      <c r="I23" s="12">
        <f t="shared" si="1"/>
        <v>435000</v>
      </c>
    </row>
    <row r="24" spans="1:9" x14ac:dyDescent="0.2">
      <c r="A24" s="9" t="s">
        <v>209</v>
      </c>
      <c r="B24" s="9" t="s">
        <v>309</v>
      </c>
      <c r="C24" s="9">
        <v>933889900</v>
      </c>
      <c r="D24" s="9">
        <v>1500000</v>
      </c>
      <c r="E24" s="9"/>
      <c r="F24" s="11">
        <v>30000</v>
      </c>
      <c r="G24" s="9" t="s">
        <v>187</v>
      </c>
      <c r="H24">
        <f t="shared" si="0"/>
        <v>0</v>
      </c>
      <c r="I24" s="12">
        <f t="shared" si="1"/>
        <v>1470000</v>
      </c>
    </row>
    <row r="25" spans="1:9" x14ac:dyDescent="0.2">
      <c r="A25" s="9" t="s">
        <v>210</v>
      </c>
      <c r="B25" s="9" t="s">
        <v>310</v>
      </c>
      <c r="C25" s="9">
        <v>966112233</v>
      </c>
      <c r="D25" s="9">
        <v>2000000</v>
      </c>
      <c r="E25" s="9" t="s">
        <v>186</v>
      </c>
      <c r="F25" s="11">
        <v>15000</v>
      </c>
      <c r="G25" s="9" t="s">
        <v>189</v>
      </c>
      <c r="H25">
        <f t="shared" si="0"/>
        <v>100000</v>
      </c>
      <c r="I25" s="12">
        <f t="shared" si="1"/>
        <v>1885000</v>
      </c>
    </row>
    <row r="26" spans="1:9" x14ac:dyDescent="0.2">
      <c r="A26" s="9" t="s">
        <v>211</v>
      </c>
      <c r="B26" s="9" t="s">
        <v>311</v>
      </c>
      <c r="C26" s="9">
        <v>922445566</v>
      </c>
      <c r="D26" s="9">
        <v>500000</v>
      </c>
      <c r="E26" s="9" t="s">
        <v>183</v>
      </c>
      <c r="F26" s="11">
        <v>30000</v>
      </c>
      <c r="G26" s="9" t="s">
        <v>184</v>
      </c>
      <c r="H26">
        <f t="shared" si="0"/>
        <v>50000</v>
      </c>
      <c r="I26" s="12">
        <f t="shared" si="1"/>
        <v>420000</v>
      </c>
    </row>
    <row r="27" spans="1:9" x14ac:dyDescent="0.2">
      <c r="A27" s="9" t="s">
        <v>212</v>
      </c>
      <c r="B27" s="9" t="s">
        <v>287</v>
      </c>
      <c r="C27" s="9">
        <v>988776655</v>
      </c>
      <c r="D27" s="9">
        <v>1500000</v>
      </c>
      <c r="E27" s="9" t="s">
        <v>186</v>
      </c>
      <c r="F27" s="11">
        <v>15000</v>
      </c>
      <c r="G27" s="9" t="s">
        <v>184</v>
      </c>
      <c r="H27">
        <f t="shared" si="0"/>
        <v>75000</v>
      </c>
      <c r="I27" s="12">
        <f t="shared" si="1"/>
        <v>1410000</v>
      </c>
    </row>
    <row r="28" spans="1:9" x14ac:dyDescent="0.2">
      <c r="A28" s="9" t="s">
        <v>213</v>
      </c>
      <c r="B28" s="9" t="s">
        <v>288</v>
      </c>
      <c r="C28" s="9">
        <v>912345678</v>
      </c>
      <c r="D28" s="9">
        <v>2000000</v>
      </c>
      <c r="E28" s="9"/>
      <c r="F28" s="11">
        <v>30000</v>
      </c>
      <c r="G28" s="9" t="s">
        <v>189</v>
      </c>
      <c r="H28">
        <f t="shared" si="0"/>
        <v>0</v>
      </c>
      <c r="I28" s="12">
        <f t="shared" si="1"/>
        <v>1970000</v>
      </c>
    </row>
    <row r="29" spans="1:9" x14ac:dyDescent="0.2">
      <c r="A29" s="9" t="s">
        <v>214</v>
      </c>
      <c r="B29" s="9" t="s">
        <v>289</v>
      </c>
      <c r="C29" s="9">
        <v>905554433</v>
      </c>
      <c r="D29" s="9">
        <v>500000</v>
      </c>
      <c r="E29" s="9" t="s">
        <v>183</v>
      </c>
      <c r="F29" s="11">
        <v>15000</v>
      </c>
      <c r="G29" s="9" t="s">
        <v>184</v>
      </c>
      <c r="H29">
        <f t="shared" si="0"/>
        <v>50000</v>
      </c>
      <c r="I29" s="12">
        <f t="shared" si="1"/>
        <v>435000</v>
      </c>
    </row>
    <row r="30" spans="1:9" x14ac:dyDescent="0.2">
      <c r="A30" s="9" t="s">
        <v>215</v>
      </c>
      <c r="B30" s="9" t="s">
        <v>290</v>
      </c>
      <c r="C30" s="9">
        <v>977112233</v>
      </c>
      <c r="D30" s="9">
        <v>1500000</v>
      </c>
      <c r="E30" s="9" t="s">
        <v>186</v>
      </c>
      <c r="F30" s="11">
        <v>30000</v>
      </c>
      <c r="G30" s="9" t="s">
        <v>187</v>
      </c>
      <c r="H30">
        <f t="shared" si="0"/>
        <v>75000</v>
      </c>
      <c r="I30" s="12">
        <f t="shared" si="1"/>
        <v>1395000</v>
      </c>
    </row>
    <row r="31" spans="1:9" x14ac:dyDescent="0.2">
      <c r="A31" s="9" t="s">
        <v>216</v>
      </c>
      <c r="B31" s="9" t="s">
        <v>291</v>
      </c>
      <c r="C31" s="9">
        <v>944889900</v>
      </c>
      <c r="D31" s="9">
        <v>2000000</v>
      </c>
      <c r="E31" s="9" t="s">
        <v>183</v>
      </c>
      <c r="F31" s="11">
        <v>15000</v>
      </c>
      <c r="G31" s="9" t="s">
        <v>184</v>
      </c>
      <c r="H31">
        <f t="shared" si="0"/>
        <v>200000</v>
      </c>
      <c r="I31" s="12">
        <f t="shared" si="1"/>
        <v>1785000</v>
      </c>
    </row>
    <row r="32" spans="1:9" x14ac:dyDescent="0.2">
      <c r="A32" s="9" t="s">
        <v>217</v>
      </c>
      <c r="B32" s="9" t="s">
        <v>292</v>
      </c>
      <c r="C32" s="9">
        <v>933221100</v>
      </c>
      <c r="D32" s="9">
        <v>500000</v>
      </c>
      <c r="E32" s="9"/>
      <c r="F32" s="11">
        <v>30000</v>
      </c>
      <c r="G32" s="9" t="s">
        <v>189</v>
      </c>
      <c r="H32">
        <f t="shared" si="0"/>
        <v>0</v>
      </c>
      <c r="I32" s="12">
        <f t="shared" si="1"/>
        <v>470000</v>
      </c>
    </row>
    <row r="33" spans="1:9" x14ac:dyDescent="0.2">
      <c r="A33" s="9" t="s">
        <v>218</v>
      </c>
      <c r="B33" s="9" t="s">
        <v>293</v>
      </c>
      <c r="C33" s="9">
        <v>966445566</v>
      </c>
      <c r="D33" s="9">
        <v>1500000</v>
      </c>
      <c r="E33" s="9" t="s">
        <v>186</v>
      </c>
      <c r="F33" s="11">
        <v>15000</v>
      </c>
      <c r="G33" s="9" t="s">
        <v>184</v>
      </c>
      <c r="H33">
        <f t="shared" si="0"/>
        <v>75000</v>
      </c>
      <c r="I33" s="12">
        <f t="shared" si="1"/>
        <v>1410000</v>
      </c>
    </row>
    <row r="34" spans="1:9" x14ac:dyDescent="0.2">
      <c r="A34" s="9" t="s">
        <v>219</v>
      </c>
      <c r="B34" s="9" t="s">
        <v>294</v>
      </c>
      <c r="C34" s="9">
        <v>922778899</v>
      </c>
      <c r="D34" s="9">
        <v>2000000</v>
      </c>
      <c r="E34" s="9" t="s">
        <v>183</v>
      </c>
      <c r="F34" s="11">
        <v>30000</v>
      </c>
      <c r="G34" s="9" t="s">
        <v>184</v>
      </c>
      <c r="H34">
        <f t="shared" si="0"/>
        <v>200000</v>
      </c>
      <c r="I34" s="12">
        <f t="shared" si="1"/>
        <v>1770000</v>
      </c>
    </row>
    <row r="35" spans="1:9" x14ac:dyDescent="0.2">
      <c r="A35" s="9" t="s">
        <v>220</v>
      </c>
      <c r="B35" s="9" t="s">
        <v>295</v>
      </c>
      <c r="C35" s="9">
        <v>911002233</v>
      </c>
      <c r="D35" s="9">
        <v>500000</v>
      </c>
      <c r="E35" s="9" t="s">
        <v>186</v>
      </c>
      <c r="F35" s="11">
        <v>15000</v>
      </c>
      <c r="G35" s="9" t="s">
        <v>187</v>
      </c>
      <c r="H35">
        <f t="shared" si="0"/>
        <v>25000</v>
      </c>
      <c r="I35" s="12">
        <f t="shared" si="1"/>
        <v>460000</v>
      </c>
    </row>
    <row r="36" spans="1:9" x14ac:dyDescent="0.2">
      <c r="A36" s="9" t="s">
        <v>221</v>
      </c>
      <c r="B36" s="9" t="s">
        <v>296</v>
      </c>
      <c r="C36" s="9">
        <v>988009911</v>
      </c>
      <c r="D36" s="9">
        <v>1500000</v>
      </c>
      <c r="E36" s="9"/>
      <c r="F36" s="11">
        <v>30000</v>
      </c>
      <c r="G36" s="9" t="s">
        <v>184</v>
      </c>
      <c r="H36">
        <f t="shared" si="0"/>
        <v>0</v>
      </c>
      <c r="I36" s="12">
        <f t="shared" si="1"/>
        <v>1470000</v>
      </c>
    </row>
    <row r="37" spans="1:9" x14ac:dyDescent="0.2">
      <c r="A37" s="9" t="s">
        <v>222</v>
      </c>
      <c r="B37" s="9" t="s">
        <v>297</v>
      </c>
      <c r="C37" s="9">
        <v>900112233</v>
      </c>
      <c r="D37" s="9">
        <v>2000000</v>
      </c>
      <c r="E37" s="9" t="s">
        <v>183</v>
      </c>
      <c r="F37" s="11">
        <v>15000</v>
      </c>
      <c r="G37" s="9" t="s">
        <v>189</v>
      </c>
      <c r="H37">
        <f t="shared" si="0"/>
        <v>200000</v>
      </c>
      <c r="I37" s="12">
        <f t="shared" si="1"/>
        <v>1785000</v>
      </c>
    </row>
    <row r="38" spans="1:9" x14ac:dyDescent="0.2">
      <c r="A38" s="9" t="s">
        <v>223</v>
      </c>
      <c r="B38" s="9" t="s">
        <v>298</v>
      </c>
      <c r="C38" s="9">
        <v>977443322</v>
      </c>
      <c r="D38" s="9">
        <v>500000</v>
      </c>
      <c r="E38" s="9" t="s">
        <v>186</v>
      </c>
      <c r="F38" s="11">
        <v>30000</v>
      </c>
      <c r="G38" s="9" t="s">
        <v>184</v>
      </c>
      <c r="H38">
        <f t="shared" si="0"/>
        <v>25000</v>
      </c>
      <c r="I38" s="12">
        <f t="shared" si="1"/>
        <v>445000</v>
      </c>
    </row>
    <row r="39" spans="1:9" x14ac:dyDescent="0.2">
      <c r="A39" s="9" t="s">
        <v>224</v>
      </c>
      <c r="B39" s="9" t="s">
        <v>299</v>
      </c>
      <c r="C39" s="9">
        <v>944332211</v>
      </c>
      <c r="D39" s="9">
        <v>1500000</v>
      </c>
      <c r="E39" s="9"/>
      <c r="F39" s="11">
        <v>15000</v>
      </c>
      <c r="G39" s="9" t="s">
        <v>184</v>
      </c>
      <c r="H39">
        <f t="shared" si="0"/>
        <v>0</v>
      </c>
      <c r="I39" s="12">
        <f t="shared" si="1"/>
        <v>1485000</v>
      </c>
    </row>
    <row r="40" spans="1:9" x14ac:dyDescent="0.2">
      <c r="A40" s="9" t="s">
        <v>225</v>
      </c>
      <c r="B40" s="9" t="s">
        <v>300</v>
      </c>
      <c r="C40" s="9">
        <v>911223344</v>
      </c>
      <c r="D40" s="9">
        <v>2000000</v>
      </c>
      <c r="E40" s="9" t="s">
        <v>183</v>
      </c>
      <c r="F40" s="11">
        <v>30000</v>
      </c>
      <c r="G40" s="9" t="s">
        <v>187</v>
      </c>
      <c r="H40">
        <f t="shared" si="0"/>
        <v>200000</v>
      </c>
      <c r="I40" s="12">
        <f t="shared" si="1"/>
        <v>1770000</v>
      </c>
    </row>
    <row r="41" spans="1:9" x14ac:dyDescent="0.2">
      <c r="A41" s="9" t="s">
        <v>226</v>
      </c>
      <c r="B41" s="9" t="s">
        <v>301</v>
      </c>
      <c r="C41" s="9">
        <v>933445566</v>
      </c>
      <c r="D41" s="9">
        <v>500000</v>
      </c>
      <c r="E41" s="9" t="s">
        <v>186</v>
      </c>
      <c r="F41" s="11">
        <v>15000</v>
      </c>
      <c r="G41" s="9" t="s">
        <v>184</v>
      </c>
      <c r="H41">
        <f t="shared" si="0"/>
        <v>25000</v>
      </c>
      <c r="I41" s="12">
        <f t="shared" si="1"/>
        <v>460000</v>
      </c>
    </row>
    <row r="42" spans="1:9" x14ac:dyDescent="0.2">
      <c r="A42" s="9" t="s">
        <v>227</v>
      </c>
      <c r="B42" s="9" t="s">
        <v>302</v>
      </c>
      <c r="C42" s="9">
        <v>966778899</v>
      </c>
      <c r="D42" s="9">
        <v>1500000</v>
      </c>
      <c r="E42" s="9"/>
      <c r="F42" s="11">
        <v>30000</v>
      </c>
      <c r="G42" s="9" t="s">
        <v>189</v>
      </c>
      <c r="H42">
        <f t="shared" si="0"/>
        <v>0</v>
      </c>
      <c r="I42" s="12">
        <f t="shared" si="1"/>
        <v>1470000</v>
      </c>
    </row>
    <row r="43" spans="1:9" x14ac:dyDescent="0.2">
      <c r="A43" s="9" t="s">
        <v>228</v>
      </c>
      <c r="B43" s="9" t="s">
        <v>303</v>
      </c>
      <c r="C43" s="9">
        <v>922334455</v>
      </c>
      <c r="D43" s="9">
        <v>2000000</v>
      </c>
      <c r="E43" s="9" t="s">
        <v>183</v>
      </c>
      <c r="F43" s="11">
        <v>15000</v>
      </c>
      <c r="G43" s="9" t="s">
        <v>184</v>
      </c>
      <c r="H43">
        <f t="shared" si="0"/>
        <v>200000</v>
      </c>
      <c r="I43" s="12">
        <f t="shared" si="1"/>
        <v>1785000</v>
      </c>
    </row>
    <row r="44" spans="1:9" x14ac:dyDescent="0.2">
      <c r="A44" s="9" t="s">
        <v>229</v>
      </c>
      <c r="B44" s="9" t="s">
        <v>304</v>
      </c>
      <c r="C44" s="9">
        <v>988112233</v>
      </c>
      <c r="D44" s="9">
        <v>500000</v>
      </c>
      <c r="E44" s="9" t="s">
        <v>186</v>
      </c>
      <c r="F44" s="11">
        <v>30000</v>
      </c>
      <c r="G44" s="9" t="s">
        <v>184</v>
      </c>
      <c r="H44">
        <f t="shared" si="0"/>
        <v>25000</v>
      </c>
      <c r="I44" s="12">
        <f t="shared" si="1"/>
        <v>445000</v>
      </c>
    </row>
    <row r="45" spans="1:9" x14ac:dyDescent="0.2">
      <c r="A45" s="9" t="s">
        <v>230</v>
      </c>
      <c r="B45" s="9" t="s">
        <v>305</v>
      </c>
      <c r="C45" s="9">
        <v>900334455</v>
      </c>
      <c r="D45" s="9">
        <v>1500000</v>
      </c>
      <c r="E45" s="9" t="s">
        <v>183</v>
      </c>
      <c r="F45" s="11">
        <v>15000</v>
      </c>
      <c r="G45" s="9" t="s">
        <v>187</v>
      </c>
      <c r="H45">
        <f t="shared" si="0"/>
        <v>150000</v>
      </c>
      <c r="I45" s="12">
        <f t="shared" si="1"/>
        <v>1335000</v>
      </c>
    </row>
    <row r="46" spans="1:9" x14ac:dyDescent="0.2">
      <c r="A46" s="9" t="s">
        <v>231</v>
      </c>
      <c r="B46" s="9" t="s">
        <v>306</v>
      </c>
      <c r="C46" s="9">
        <v>977665544</v>
      </c>
      <c r="D46" s="9">
        <v>2000000</v>
      </c>
      <c r="E46" s="9"/>
      <c r="F46" s="11">
        <v>30000</v>
      </c>
      <c r="G46" s="9" t="s">
        <v>184</v>
      </c>
      <c r="H46">
        <f t="shared" si="0"/>
        <v>0</v>
      </c>
      <c r="I46" s="12">
        <f t="shared" si="1"/>
        <v>1970000</v>
      </c>
    </row>
    <row r="47" spans="1:9" x14ac:dyDescent="0.2">
      <c r="A47" s="9" t="s">
        <v>232</v>
      </c>
      <c r="B47" s="9" t="s">
        <v>307</v>
      </c>
      <c r="C47" s="9">
        <v>944778899</v>
      </c>
      <c r="D47" s="9">
        <v>500000</v>
      </c>
      <c r="E47" s="9" t="s">
        <v>186</v>
      </c>
      <c r="F47" s="11">
        <v>15000</v>
      </c>
      <c r="G47" s="9" t="s">
        <v>189</v>
      </c>
      <c r="H47">
        <f t="shared" si="0"/>
        <v>25000</v>
      </c>
      <c r="I47" s="12">
        <f t="shared" si="1"/>
        <v>460000</v>
      </c>
    </row>
    <row r="48" spans="1:9" x14ac:dyDescent="0.2">
      <c r="A48" s="9" t="s">
        <v>233</v>
      </c>
      <c r="B48" s="9" t="s">
        <v>308</v>
      </c>
      <c r="C48" s="9">
        <v>911556677</v>
      </c>
      <c r="D48" s="9">
        <v>1500000</v>
      </c>
      <c r="E48" s="9" t="s">
        <v>183</v>
      </c>
      <c r="F48" s="11">
        <v>30000</v>
      </c>
      <c r="G48" s="9" t="s">
        <v>184</v>
      </c>
      <c r="H48">
        <f t="shared" si="0"/>
        <v>150000</v>
      </c>
      <c r="I48" s="12">
        <f t="shared" si="1"/>
        <v>1320000</v>
      </c>
    </row>
    <row r="49" spans="1:9" x14ac:dyDescent="0.2">
      <c r="A49" s="9" t="s">
        <v>234</v>
      </c>
      <c r="B49" s="9" t="s">
        <v>309</v>
      </c>
      <c r="C49" s="9">
        <v>933889900</v>
      </c>
      <c r="D49" s="9">
        <v>2000000</v>
      </c>
      <c r="E49" s="9"/>
      <c r="F49" s="11">
        <v>15000</v>
      </c>
      <c r="G49" s="9" t="s">
        <v>184</v>
      </c>
      <c r="H49">
        <f t="shared" si="0"/>
        <v>0</v>
      </c>
      <c r="I49" s="12">
        <f t="shared" si="1"/>
        <v>1985000</v>
      </c>
    </row>
    <row r="50" spans="1:9" x14ac:dyDescent="0.2">
      <c r="A50" s="9" t="s">
        <v>235</v>
      </c>
      <c r="B50" s="9" t="s">
        <v>310</v>
      </c>
      <c r="C50" s="9">
        <v>966112233</v>
      </c>
      <c r="D50" s="9">
        <v>500000</v>
      </c>
      <c r="E50" s="9" t="s">
        <v>186</v>
      </c>
      <c r="F50" s="11">
        <v>30000</v>
      </c>
      <c r="G50" s="9" t="s">
        <v>187</v>
      </c>
      <c r="H50">
        <f t="shared" si="0"/>
        <v>25000</v>
      </c>
      <c r="I50" s="12">
        <f t="shared" si="1"/>
        <v>445000</v>
      </c>
    </row>
    <row r="51" spans="1:9" x14ac:dyDescent="0.2">
      <c r="A51" s="9" t="s">
        <v>236</v>
      </c>
      <c r="B51" s="9" t="s">
        <v>311</v>
      </c>
      <c r="C51" s="9">
        <v>922445566</v>
      </c>
      <c r="D51" s="9">
        <v>1500000</v>
      </c>
      <c r="E51" s="9" t="s">
        <v>183</v>
      </c>
      <c r="F51" s="11">
        <v>15000</v>
      </c>
      <c r="G51" s="9" t="s">
        <v>184</v>
      </c>
      <c r="H51">
        <f t="shared" si="0"/>
        <v>150000</v>
      </c>
      <c r="I51" s="12">
        <f t="shared" si="1"/>
        <v>1335000</v>
      </c>
    </row>
    <row r="52" spans="1:9" x14ac:dyDescent="0.2">
      <c r="A52" s="9" t="s">
        <v>237</v>
      </c>
      <c r="B52" s="9" t="s">
        <v>287</v>
      </c>
      <c r="C52" s="9">
        <v>988776655</v>
      </c>
      <c r="D52" s="9">
        <v>2000000</v>
      </c>
      <c r="E52" s="9" t="s">
        <v>186</v>
      </c>
      <c r="F52" s="11">
        <v>30000</v>
      </c>
      <c r="G52" s="9" t="s">
        <v>189</v>
      </c>
      <c r="H52">
        <f t="shared" si="0"/>
        <v>100000</v>
      </c>
      <c r="I52" s="12">
        <f t="shared" si="1"/>
        <v>1870000</v>
      </c>
    </row>
    <row r="53" spans="1:9" x14ac:dyDescent="0.2">
      <c r="A53" s="9" t="s">
        <v>238</v>
      </c>
      <c r="B53" s="9" t="s">
        <v>288</v>
      </c>
      <c r="C53" s="9">
        <v>912345678</v>
      </c>
      <c r="D53" s="9">
        <v>500000</v>
      </c>
      <c r="E53" s="9"/>
      <c r="F53" s="11">
        <v>15000</v>
      </c>
      <c r="G53" s="9" t="s">
        <v>184</v>
      </c>
      <c r="H53">
        <f t="shared" si="0"/>
        <v>0</v>
      </c>
      <c r="I53" s="12">
        <f t="shared" si="1"/>
        <v>485000</v>
      </c>
    </row>
    <row r="54" spans="1:9" x14ac:dyDescent="0.2">
      <c r="A54" s="9" t="s">
        <v>239</v>
      </c>
      <c r="B54" s="9" t="s">
        <v>289</v>
      </c>
      <c r="C54" s="9">
        <v>905554433</v>
      </c>
      <c r="D54" s="9">
        <v>1500000</v>
      </c>
      <c r="E54" s="9" t="s">
        <v>183</v>
      </c>
      <c r="F54" s="11">
        <v>30000</v>
      </c>
      <c r="G54" s="9" t="s">
        <v>184</v>
      </c>
      <c r="H54">
        <f t="shared" si="0"/>
        <v>150000</v>
      </c>
      <c r="I54" s="12">
        <f t="shared" si="1"/>
        <v>1320000</v>
      </c>
    </row>
    <row r="55" spans="1:9" x14ac:dyDescent="0.2">
      <c r="A55" s="9" t="s">
        <v>240</v>
      </c>
      <c r="B55" s="9" t="s">
        <v>290</v>
      </c>
      <c r="C55" s="9">
        <v>977112233</v>
      </c>
      <c r="D55" s="9">
        <v>2000000</v>
      </c>
      <c r="E55" s="9" t="s">
        <v>186</v>
      </c>
      <c r="F55" s="11">
        <v>15000</v>
      </c>
      <c r="G55" s="9" t="s">
        <v>187</v>
      </c>
      <c r="H55">
        <f t="shared" si="0"/>
        <v>100000</v>
      </c>
      <c r="I55" s="12">
        <f t="shared" si="1"/>
        <v>1885000</v>
      </c>
    </row>
    <row r="56" spans="1:9" x14ac:dyDescent="0.2">
      <c r="A56" s="9" t="s">
        <v>241</v>
      </c>
      <c r="B56" s="9" t="s">
        <v>291</v>
      </c>
      <c r="C56" s="9">
        <v>944889900</v>
      </c>
      <c r="D56" s="9">
        <v>500000</v>
      </c>
      <c r="E56" s="9" t="s">
        <v>183</v>
      </c>
      <c r="F56" s="11">
        <v>30000</v>
      </c>
      <c r="G56" s="9" t="s">
        <v>184</v>
      </c>
      <c r="H56">
        <f t="shared" si="0"/>
        <v>50000</v>
      </c>
      <c r="I56" s="12">
        <f t="shared" si="1"/>
        <v>420000</v>
      </c>
    </row>
    <row r="57" spans="1:9" x14ac:dyDescent="0.2">
      <c r="A57" s="9" t="s">
        <v>242</v>
      </c>
      <c r="B57" s="9" t="s">
        <v>292</v>
      </c>
      <c r="C57" s="9">
        <v>933221100</v>
      </c>
      <c r="D57" s="9">
        <v>1500000</v>
      </c>
      <c r="E57" s="9"/>
      <c r="F57" s="11">
        <v>15000</v>
      </c>
      <c r="G57" s="9" t="s">
        <v>189</v>
      </c>
      <c r="H57">
        <f t="shared" si="0"/>
        <v>0</v>
      </c>
      <c r="I57" s="12">
        <f t="shared" si="1"/>
        <v>1485000</v>
      </c>
    </row>
    <row r="58" spans="1:9" x14ac:dyDescent="0.2">
      <c r="A58" s="9" t="s">
        <v>243</v>
      </c>
      <c r="B58" s="9" t="s">
        <v>293</v>
      </c>
      <c r="C58" s="9">
        <v>966445566</v>
      </c>
      <c r="D58" s="9">
        <v>2000000</v>
      </c>
      <c r="E58" s="9" t="s">
        <v>186</v>
      </c>
      <c r="F58" s="11">
        <v>30000</v>
      </c>
      <c r="G58" s="9" t="s">
        <v>184</v>
      </c>
      <c r="H58">
        <f t="shared" si="0"/>
        <v>100000</v>
      </c>
      <c r="I58" s="12">
        <f t="shared" si="1"/>
        <v>1870000</v>
      </c>
    </row>
    <row r="59" spans="1:9" x14ac:dyDescent="0.2">
      <c r="A59" s="9" t="s">
        <v>244</v>
      </c>
      <c r="B59" s="9" t="s">
        <v>294</v>
      </c>
      <c r="C59" s="9">
        <v>922778899</v>
      </c>
      <c r="D59" s="9">
        <v>500000</v>
      </c>
      <c r="E59" s="9" t="s">
        <v>183</v>
      </c>
      <c r="F59" s="11">
        <v>15000</v>
      </c>
      <c r="G59" s="9" t="s">
        <v>184</v>
      </c>
      <c r="H59">
        <f t="shared" si="0"/>
        <v>50000</v>
      </c>
      <c r="I59" s="12">
        <f t="shared" si="1"/>
        <v>435000</v>
      </c>
    </row>
    <row r="60" spans="1:9" x14ac:dyDescent="0.2">
      <c r="A60" s="9" t="s">
        <v>245</v>
      </c>
      <c r="B60" s="9" t="s">
        <v>295</v>
      </c>
      <c r="C60" s="9">
        <v>911002233</v>
      </c>
      <c r="D60" s="9">
        <v>1500000</v>
      </c>
      <c r="E60" s="9" t="s">
        <v>186</v>
      </c>
      <c r="F60" s="11">
        <v>30000</v>
      </c>
      <c r="G60" s="9" t="s">
        <v>187</v>
      </c>
      <c r="H60">
        <f t="shared" si="0"/>
        <v>75000</v>
      </c>
      <c r="I60" s="12">
        <f t="shared" si="1"/>
        <v>1395000</v>
      </c>
    </row>
    <row r="61" spans="1:9" x14ac:dyDescent="0.2">
      <c r="A61" s="9" t="s">
        <v>246</v>
      </c>
      <c r="B61" s="9" t="s">
        <v>296</v>
      </c>
      <c r="C61" s="9">
        <v>988009911</v>
      </c>
      <c r="D61" s="9">
        <v>2000000</v>
      </c>
      <c r="E61" s="9"/>
      <c r="F61" s="11">
        <v>15000</v>
      </c>
      <c r="G61" s="9" t="s">
        <v>184</v>
      </c>
      <c r="H61">
        <f t="shared" si="0"/>
        <v>0</v>
      </c>
      <c r="I61" s="12">
        <f t="shared" si="1"/>
        <v>1985000</v>
      </c>
    </row>
    <row r="62" spans="1:9" x14ac:dyDescent="0.2">
      <c r="A62" s="9" t="s">
        <v>247</v>
      </c>
      <c r="B62" s="9" t="s">
        <v>297</v>
      </c>
      <c r="C62" s="9">
        <v>900112233</v>
      </c>
      <c r="D62" s="9">
        <v>500000</v>
      </c>
      <c r="E62" s="9" t="s">
        <v>183</v>
      </c>
      <c r="F62" s="11">
        <v>30000</v>
      </c>
      <c r="G62" s="9" t="s">
        <v>189</v>
      </c>
      <c r="H62">
        <f t="shared" si="0"/>
        <v>50000</v>
      </c>
      <c r="I62" s="12">
        <f t="shared" si="1"/>
        <v>420000</v>
      </c>
    </row>
    <row r="63" spans="1:9" x14ac:dyDescent="0.2">
      <c r="A63" s="9" t="s">
        <v>248</v>
      </c>
      <c r="B63" s="9" t="s">
        <v>298</v>
      </c>
      <c r="C63" s="9">
        <v>977443322</v>
      </c>
      <c r="D63" s="9">
        <v>1500000</v>
      </c>
      <c r="E63" s="9" t="s">
        <v>186</v>
      </c>
      <c r="F63" s="11">
        <v>15000</v>
      </c>
      <c r="G63" s="9" t="s">
        <v>184</v>
      </c>
      <c r="H63">
        <f t="shared" si="0"/>
        <v>75000</v>
      </c>
      <c r="I63" s="12">
        <f t="shared" si="1"/>
        <v>1410000</v>
      </c>
    </row>
    <row r="64" spans="1:9" x14ac:dyDescent="0.2">
      <c r="A64" s="9" t="s">
        <v>249</v>
      </c>
      <c r="B64" s="9" t="s">
        <v>299</v>
      </c>
      <c r="C64" s="9">
        <v>944332211</v>
      </c>
      <c r="D64" s="9">
        <v>2000000</v>
      </c>
      <c r="E64" s="9"/>
      <c r="F64" s="11">
        <v>30000</v>
      </c>
      <c r="G64" s="9" t="s">
        <v>184</v>
      </c>
      <c r="H64">
        <f t="shared" si="0"/>
        <v>0</v>
      </c>
      <c r="I64" s="12">
        <f t="shared" si="1"/>
        <v>1970000</v>
      </c>
    </row>
    <row r="65" spans="1:9" x14ac:dyDescent="0.2">
      <c r="A65" s="9" t="s">
        <v>250</v>
      </c>
      <c r="B65" s="9" t="s">
        <v>300</v>
      </c>
      <c r="C65" s="9">
        <v>911223344</v>
      </c>
      <c r="D65" s="9">
        <v>500000</v>
      </c>
      <c r="E65" s="9" t="s">
        <v>183</v>
      </c>
      <c r="F65" s="11">
        <v>15000</v>
      </c>
      <c r="G65" s="9" t="s">
        <v>187</v>
      </c>
      <c r="H65">
        <f t="shared" si="0"/>
        <v>50000</v>
      </c>
      <c r="I65" s="12">
        <f t="shared" si="1"/>
        <v>435000</v>
      </c>
    </row>
    <row r="66" spans="1:9" x14ac:dyDescent="0.2">
      <c r="A66" s="9" t="s">
        <v>251</v>
      </c>
      <c r="B66" s="9" t="s">
        <v>301</v>
      </c>
      <c r="C66" s="9">
        <v>933445566</v>
      </c>
      <c r="D66" s="9">
        <v>1500000</v>
      </c>
      <c r="E66" s="9" t="s">
        <v>186</v>
      </c>
      <c r="F66" s="11">
        <v>30000</v>
      </c>
      <c r="G66" s="9" t="s">
        <v>184</v>
      </c>
      <c r="H66">
        <f t="shared" si="0"/>
        <v>75000</v>
      </c>
      <c r="I66" s="12">
        <f t="shared" si="1"/>
        <v>1395000</v>
      </c>
    </row>
    <row r="67" spans="1:9" x14ac:dyDescent="0.2">
      <c r="A67" s="9" t="s">
        <v>252</v>
      </c>
      <c r="B67" s="9" t="s">
        <v>302</v>
      </c>
      <c r="C67" s="9">
        <v>966778899</v>
      </c>
      <c r="D67" s="9">
        <v>2000000</v>
      </c>
      <c r="E67" s="9"/>
      <c r="F67" s="11">
        <v>15000</v>
      </c>
      <c r="G67" s="9" t="s">
        <v>189</v>
      </c>
      <c r="H67">
        <f t="shared" ref="H67:H101" si="2">IF(E67="VIP",D67*10%,IF(E67="NORMAL",D67*5%,0))</f>
        <v>0</v>
      </c>
      <c r="I67" s="12">
        <f t="shared" ref="I67:I101" si="3">D67-H67-F67</f>
        <v>1985000</v>
      </c>
    </row>
    <row r="68" spans="1:9" x14ac:dyDescent="0.2">
      <c r="A68" s="9" t="s">
        <v>253</v>
      </c>
      <c r="B68" s="9" t="s">
        <v>303</v>
      </c>
      <c r="C68" s="9">
        <v>922334455</v>
      </c>
      <c r="D68" s="9">
        <v>500000</v>
      </c>
      <c r="E68" s="9" t="s">
        <v>183</v>
      </c>
      <c r="F68" s="11">
        <v>30000</v>
      </c>
      <c r="G68" s="9" t="s">
        <v>184</v>
      </c>
      <c r="H68">
        <f t="shared" si="2"/>
        <v>50000</v>
      </c>
      <c r="I68" s="12">
        <f t="shared" si="3"/>
        <v>420000</v>
      </c>
    </row>
    <row r="69" spans="1:9" x14ac:dyDescent="0.2">
      <c r="A69" s="9" t="s">
        <v>254</v>
      </c>
      <c r="B69" s="9" t="s">
        <v>304</v>
      </c>
      <c r="C69" s="9">
        <v>988112233</v>
      </c>
      <c r="D69" s="9">
        <v>1500000</v>
      </c>
      <c r="E69" s="9" t="s">
        <v>186</v>
      </c>
      <c r="F69" s="11">
        <v>15000</v>
      </c>
      <c r="G69" s="9" t="s">
        <v>184</v>
      </c>
      <c r="H69">
        <f t="shared" si="2"/>
        <v>75000</v>
      </c>
      <c r="I69" s="12">
        <f t="shared" si="3"/>
        <v>1410000</v>
      </c>
    </row>
    <row r="70" spans="1:9" x14ac:dyDescent="0.2">
      <c r="A70" s="9" t="s">
        <v>255</v>
      </c>
      <c r="B70" s="9" t="s">
        <v>305</v>
      </c>
      <c r="C70" s="9">
        <v>900334455</v>
      </c>
      <c r="D70" s="9">
        <v>2000000</v>
      </c>
      <c r="E70" s="9" t="s">
        <v>183</v>
      </c>
      <c r="F70" s="11">
        <v>30000</v>
      </c>
      <c r="G70" s="9" t="s">
        <v>187</v>
      </c>
      <c r="H70">
        <f t="shared" si="2"/>
        <v>200000</v>
      </c>
      <c r="I70" s="12">
        <f t="shared" si="3"/>
        <v>1770000</v>
      </c>
    </row>
    <row r="71" spans="1:9" x14ac:dyDescent="0.2">
      <c r="A71" s="9" t="s">
        <v>256</v>
      </c>
      <c r="B71" s="9" t="s">
        <v>306</v>
      </c>
      <c r="C71" s="9">
        <v>977665544</v>
      </c>
      <c r="D71" s="9">
        <v>500000</v>
      </c>
      <c r="E71" s="9"/>
      <c r="F71" s="11">
        <v>15000</v>
      </c>
      <c r="G71" s="9" t="s">
        <v>184</v>
      </c>
      <c r="H71">
        <f t="shared" si="2"/>
        <v>0</v>
      </c>
      <c r="I71" s="12">
        <f t="shared" si="3"/>
        <v>485000</v>
      </c>
    </row>
    <row r="72" spans="1:9" x14ac:dyDescent="0.2">
      <c r="A72" s="9" t="s">
        <v>257</v>
      </c>
      <c r="B72" s="9" t="s">
        <v>307</v>
      </c>
      <c r="C72" s="9">
        <v>944778899</v>
      </c>
      <c r="D72" s="9">
        <v>1500000</v>
      </c>
      <c r="E72" s="9" t="s">
        <v>186</v>
      </c>
      <c r="F72" s="11">
        <v>30000</v>
      </c>
      <c r="G72" s="9" t="s">
        <v>189</v>
      </c>
      <c r="H72">
        <f t="shared" si="2"/>
        <v>75000</v>
      </c>
      <c r="I72" s="12">
        <f t="shared" si="3"/>
        <v>1395000</v>
      </c>
    </row>
    <row r="73" spans="1:9" x14ac:dyDescent="0.2">
      <c r="A73" s="9" t="s">
        <v>258</v>
      </c>
      <c r="B73" s="9" t="s">
        <v>308</v>
      </c>
      <c r="C73" s="9">
        <v>911556677</v>
      </c>
      <c r="D73" s="9">
        <v>2000000</v>
      </c>
      <c r="E73" s="9" t="s">
        <v>183</v>
      </c>
      <c r="F73" s="11">
        <v>15000</v>
      </c>
      <c r="G73" s="9" t="s">
        <v>184</v>
      </c>
      <c r="H73">
        <f t="shared" si="2"/>
        <v>200000</v>
      </c>
      <c r="I73" s="12">
        <f t="shared" si="3"/>
        <v>1785000</v>
      </c>
    </row>
    <row r="74" spans="1:9" x14ac:dyDescent="0.2">
      <c r="A74" s="9" t="s">
        <v>259</v>
      </c>
      <c r="B74" s="9" t="s">
        <v>309</v>
      </c>
      <c r="C74" s="9">
        <v>933889900</v>
      </c>
      <c r="D74" s="9">
        <v>500000</v>
      </c>
      <c r="E74" s="9"/>
      <c r="F74" s="11">
        <v>30000</v>
      </c>
      <c r="G74" s="9" t="s">
        <v>184</v>
      </c>
      <c r="H74">
        <f t="shared" si="2"/>
        <v>0</v>
      </c>
      <c r="I74" s="12">
        <f t="shared" si="3"/>
        <v>470000</v>
      </c>
    </row>
    <row r="75" spans="1:9" x14ac:dyDescent="0.2">
      <c r="A75" s="9" t="s">
        <v>260</v>
      </c>
      <c r="B75" s="9" t="s">
        <v>310</v>
      </c>
      <c r="C75" s="9">
        <v>966112233</v>
      </c>
      <c r="D75" s="9">
        <v>1500000</v>
      </c>
      <c r="E75" s="9" t="s">
        <v>186</v>
      </c>
      <c r="F75" s="11">
        <v>15000</v>
      </c>
      <c r="G75" s="9" t="s">
        <v>187</v>
      </c>
      <c r="H75">
        <f t="shared" si="2"/>
        <v>75000</v>
      </c>
      <c r="I75" s="12">
        <f t="shared" si="3"/>
        <v>1410000</v>
      </c>
    </row>
    <row r="76" spans="1:9" x14ac:dyDescent="0.2">
      <c r="A76" s="9" t="s">
        <v>261</v>
      </c>
      <c r="B76" s="9" t="s">
        <v>311</v>
      </c>
      <c r="C76" s="9">
        <v>922445566</v>
      </c>
      <c r="D76" s="9">
        <v>2000000</v>
      </c>
      <c r="E76" s="9" t="s">
        <v>183</v>
      </c>
      <c r="F76" s="11">
        <v>30000</v>
      </c>
      <c r="G76" s="9" t="s">
        <v>184</v>
      </c>
      <c r="H76">
        <f t="shared" si="2"/>
        <v>200000</v>
      </c>
      <c r="I76" s="12">
        <f t="shared" si="3"/>
        <v>1770000</v>
      </c>
    </row>
    <row r="77" spans="1:9" x14ac:dyDescent="0.2">
      <c r="A77" s="9" t="s">
        <v>262</v>
      </c>
      <c r="B77" s="9" t="s">
        <v>287</v>
      </c>
      <c r="C77" s="9">
        <v>988776655</v>
      </c>
      <c r="D77" s="9">
        <v>500000</v>
      </c>
      <c r="E77" s="9" t="s">
        <v>186</v>
      </c>
      <c r="F77" s="11">
        <v>15000</v>
      </c>
      <c r="G77" s="9" t="s">
        <v>189</v>
      </c>
      <c r="H77">
        <f t="shared" si="2"/>
        <v>25000</v>
      </c>
      <c r="I77" s="12">
        <f t="shared" si="3"/>
        <v>460000</v>
      </c>
    </row>
    <row r="78" spans="1:9" x14ac:dyDescent="0.2">
      <c r="A78" s="9" t="s">
        <v>263</v>
      </c>
      <c r="B78" s="9" t="s">
        <v>288</v>
      </c>
      <c r="C78" s="9">
        <v>912345678</v>
      </c>
      <c r="D78" s="9">
        <v>1500000</v>
      </c>
      <c r="E78" s="9"/>
      <c r="F78" s="11">
        <v>30000</v>
      </c>
      <c r="G78" s="9" t="s">
        <v>184</v>
      </c>
      <c r="H78">
        <f t="shared" si="2"/>
        <v>0</v>
      </c>
      <c r="I78" s="12">
        <f t="shared" si="3"/>
        <v>1470000</v>
      </c>
    </row>
    <row r="79" spans="1:9" x14ac:dyDescent="0.2">
      <c r="A79" s="9" t="s">
        <v>264</v>
      </c>
      <c r="B79" s="9" t="s">
        <v>289</v>
      </c>
      <c r="C79" s="9">
        <v>905554433</v>
      </c>
      <c r="D79" s="9">
        <v>2000000</v>
      </c>
      <c r="E79" s="9" t="s">
        <v>183</v>
      </c>
      <c r="F79" s="11">
        <v>15000</v>
      </c>
      <c r="G79" s="9" t="s">
        <v>184</v>
      </c>
      <c r="H79">
        <f t="shared" si="2"/>
        <v>200000</v>
      </c>
      <c r="I79" s="12">
        <f t="shared" si="3"/>
        <v>1785000</v>
      </c>
    </row>
    <row r="80" spans="1:9" x14ac:dyDescent="0.2">
      <c r="A80" s="9" t="s">
        <v>265</v>
      </c>
      <c r="B80" s="9" t="s">
        <v>290</v>
      </c>
      <c r="C80" s="9">
        <v>977112233</v>
      </c>
      <c r="D80" s="9">
        <v>500000</v>
      </c>
      <c r="E80" s="9" t="s">
        <v>186</v>
      </c>
      <c r="F80" s="11">
        <v>30000</v>
      </c>
      <c r="G80" s="9" t="s">
        <v>187</v>
      </c>
      <c r="H80">
        <f t="shared" si="2"/>
        <v>25000</v>
      </c>
      <c r="I80" s="12">
        <f t="shared" si="3"/>
        <v>445000</v>
      </c>
    </row>
    <row r="81" spans="1:9" x14ac:dyDescent="0.2">
      <c r="A81" s="9" t="s">
        <v>266</v>
      </c>
      <c r="B81" s="9" t="s">
        <v>291</v>
      </c>
      <c r="C81" s="9">
        <v>944889900</v>
      </c>
      <c r="D81" s="9">
        <v>1500000</v>
      </c>
      <c r="E81" s="9" t="s">
        <v>183</v>
      </c>
      <c r="F81" s="11">
        <v>15000</v>
      </c>
      <c r="G81" s="9" t="s">
        <v>184</v>
      </c>
      <c r="H81">
        <f t="shared" si="2"/>
        <v>150000</v>
      </c>
      <c r="I81" s="12">
        <f t="shared" si="3"/>
        <v>1335000</v>
      </c>
    </row>
    <row r="82" spans="1:9" x14ac:dyDescent="0.2">
      <c r="A82" s="9" t="s">
        <v>267</v>
      </c>
      <c r="B82" s="9" t="s">
        <v>292</v>
      </c>
      <c r="C82" s="9">
        <v>933221100</v>
      </c>
      <c r="D82" s="9">
        <v>2000000</v>
      </c>
      <c r="E82" s="9"/>
      <c r="F82" s="11">
        <v>30000</v>
      </c>
      <c r="G82" s="9" t="s">
        <v>189</v>
      </c>
      <c r="H82">
        <f t="shared" si="2"/>
        <v>0</v>
      </c>
      <c r="I82" s="12">
        <f t="shared" si="3"/>
        <v>1970000</v>
      </c>
    </row>
    <row r="83" spans="1:9" x14ac:dyDescent="0.2">
      <c r="A83" s="9" t="s">
        <v>268</v>
      </c>
      <c r="B83" s="9" t="s">
        <v>293</v>
      </c>
      <c r="C83" s="9">
        <v>966445566</v>
      </c>
      <c r="D83" s="9">
        <v>500000</v>
      </c>
      <c r="E83" s="9" t="s">
        <v>186</v>
      </c>
      <c r="F83" s="11">
        <v>15000</v>
      </c>
      <c r="G83" s="9" t="s">
        <v>184</v>
      </c>
      <c r="H83">
        <f t="shared" si="2"/>
        <v>25000</v>
      </c>
      <c r="I83" s="12">
        <f t="shared" si="3"/>
        <v>460000</v>
      </c>
    </row>
    <row r="84" spans="1:9" x14ac:dyDescent="0.2">
      <c r="A84" s="9" t="s">
        <v>269</v>
      </c>
      <c r="B84" s="9" t="s">
        <v>294</v>
      </c>
      <c r="C84" s="9">
        <v>922778899</v>
      </c>
      <c r="D84" s="9">
        <v>1500000</v>
      </c>
      <c r="E84" s="9" t="s">
        <v>183</v>
      </c>
      <c r="F84" s="11">
        <v>30000</v>
      </c>
      <c r="G84" s="9" t="s">
        <v>184</v>
      </c>
      <c r="H84">
        <f t="shared" si="2"/>
        <v>150000</v>
      </c>
      <c r="I84" s="12">
        <f t="shared" si="3"/>
        <v>1320000</v>
      </c>
    </row>
    <row r="85" spans="1:9" x14ac:dyDescent="0.2">
      <c r="A85" s="9" t="s">
        <v>270</v>
      </c>
      <c r="B85" s="9" t="s">
        <v>295</v>
      </c>
      <c r="C85" s="9">
        <v>911002233</v>
      </c>
      <c r="D85" s="9">
        <v>2000000</v>
      </c>
      <c r="E85" s="9" t="s">
        <v>186</v>
      </c>
      <c r="F85" s="11">
        <v>15000</v>
      </c>
      <c r="G85" s="9" t="s">
        <v>187</v>
      </c>
      <c r="H85">
        <f t="shared" si="2"/>
        <v>100000</v>
      </c>
      <c r="I85" s="12">
        <f t="shared" si="3"/>
        <v>1885000</v>
      </c>
    </row>
    <row r="86" spans="1:9" x14ac:dyDescent="0.2">
      <c r="A86" s="9" t="s">
        <v>271</v>
      </c>
      <c r="B86" s="9" t="s">
        <v>296</v>
      </c>
      <c r="C86" s="9">
        <v>988009911</v>
      </c>
      <c r="D86" s="9">
        <v>500000</v>
      </c>
      <c r="E86" s="9"/>
      <c r="F86" s="11">
        <v>30000</v>
      </c>
      <c r="G86" s="9" t="s">
        <v>184</v>
      </c>
      <c r="H86">
        <f t="shared" si="2"/>
        <v>0</v>
      </c>
      <c r="I86" s="12">
        <f t="shared" si="3"/>
        <v>470000</v>
      </c>
    </row>
    <row r="87" spans="1:9" x14ac:dyDescent="0.2">
      <c r="A87" s="9" t="s">
        <v>272</v>
      </c>
      <c r="B87" s="9" t="s">
        <v>297</v>
      </c>
      <c r="C87" s="9">
        <v>900112233</v>
      </c>
      <c r="D87" s="9">
        <v>1500000</v>
      </c>
      <c r="E87" s="9" t="s">
        <v>183</v>
      </c>
      <c r="F87" s="11">
        <v>15000</v>
      </c>
      <c r="G87" s="9" t="s">
        <v>189</v>
      </c>
      <c r="H87">
        <f t="shared" si="2"/>
        <v>150000</v>
      </c>
      <c r="I87" s="12">
        <f t="shared" si="3"/>
        <v>1335000</v>
      </c>
    </row>
    <row r="88" spans="1:9" x14ac:dyDescent="0.2">
      <c r="A88" s="9" t="s">
        <v>273</v>
      </c>
      <c r="B88" s="9" t="s">
        <v>298</v>
      </c>
      <c r="C88" s="9">
        <v>977443322</v>
      </c>
      <c r="D88" s="9">
        <v>2000000</v>
      </c>
      <c r="E88" s="9" t="s">
        <v>186</v>
      </c>
      <c r="F88" s="11">
        <v>30000</v>
      </c>
      <c r="G88" s="9" t="s">
        <v>184</v>
      </c>
      <c r="H88">
        <f t="shared" si="2"/>
        <v>100000</v>
      </c>
      <c r="I88" s="12">
        <f t="shared" si="3"/>
        <v>1870000</v>
      </c>
    </row>
    <row r="89" spans="1:9" x14ac:dyDescent="0.2">
      <c r="A89" s="9" t="s">
        <v>274</v>
      </c>
      <c r="B89" s="9" t="s">
        <v>299</v>
      </c>
      <c r="C89" s="9">
        <v>944332211</v>
      </c>
      <c r="D89" s="9">
        <v>500000</v>
      </c>
      <c r="E89" s="9"/>
      <c r="F89" s="11">
        <v>15000</v>
      </c>
      <c r="G89" s="9" t="s">
        <v>184</v>
      </c>
      <c r="H89">
        <f t="shared" si="2"/>
        <v>0</v>
      </c>
      <c r="I89" s="12">
        <f t="shared" si="3"/>
        <v>485000</v>
      </c>
    </row>
    <row r="90" spans="1:9" x14ac:dyDescent="0.2">
      <c r="A90" s="9" t="s">
        <v>275</v>
      </c>
      <c r="B90" s="9" t="s">
        <v>300</v>
      </c>
      <c r="C90" s="9">
        <v>911223344</v>
      </c>
      <c r="D90" s="9">
        <v>1500000</v>
      </c>
      <c r="E90" s="9" t="s">
        <v>183</v>
      </c>
      <c r="F90" s="11">
        <v>30000</v>
      </c>
      <c r="G90" s="9" t="s">
        <v>187</v>
      </c>
      <c r="H90">
        <f t="shared" si="2"/>
        <v>150000</v>
      </c>
      <c r="I90" s="12">
        <f t="shared" si="3"/>
        <v>1320000</v>
      </c>
    </row>
    <row r="91" spans="1:9" x14ac:dyDescent="0.2">
      <c r="A91" s="9" t="s">
        <v>276</v>
      </c>
      <c r="B91" s="9" t="s">
        <v>301</v>
      </c>
      <c r="C91" s="9">
        <v>933445566</v>
      </c>
      <c r="D91" s="9">
        <v>2000000</v>
      </c>
      <c r="E91" s="9" t="s">
        <v>186</v>
      </c>
      <c r="F91" s="11">
        <v>15000</v>
      </c>
      <c r="G91" s="9" t="s">
        <v>184</v>
      </c>
      <c r="H91">
        <f t="shared" si="2"/>
        <v>100000</v>
      </c>
      <c r="I91" s="12">
        <f t="shared" si="3"/>
        <v>1885000</v>
      </c>
    </row>
    <row r="92" spans="1:9" x14ac:dyDescent="0.2">
      <c r="A92" s="9" t="s">
        <v>277</v>
      </c>
      <c r="B92" s="9" t="s">
        <v>302</v>
      </c>
      <c r="C92" s="9">
        <v>966778899</v>
      </c>
      <c r="D92" s="9">
        <v>500000</v>
      </c>
      <c r="E92" s="9"/>
      <c r="F92" s="11">
        <v>30000</v>
      </c>
      <c r="G92" s="9" t="s">
        <v>189</v>
      </c>
      <c r="H92">
        <f t="shared" si="2"/>
        <v>0</v>
      </c>
      <c r="I92" s="12">
        <f t="shared" si="3"/>
        <v>470000</v>
      </c>
    </row>
    <row r="93" spans="1:9" x14ac:dyDescent="0.2">
      <c r="A93" s="9" t="s">
        <v>278</v>
      </c>
      <c r="B93" s="9" t="s">
        <v>303</v>
      </c>
      <c r="C93" s="9">
        <v>922334455</v>
      </c>
      <c r="D93" s="9">
        <v>1500000</v>
      </c>
      <c r="E93" s="9" t="s">
        <v>183</v>
      </c>
      <c r="F93" s="11">
        <v>15000</v>
      </c>
      <c r="G93" s="9" t="s">
        <v>184</v>
      </c>
      <c r="H93">
        <f t="shared" si="2"/>
        <v>150000</v>
      </c>
      <c r="I93" s="12">
        <f t="shared" si="3"/>
        <v>1335000</v>
      </c>
    </row>
    <row r="94" spans="1:9" x14ac:dyDescent="0.2">
      <c r="A94" s="9" t="s">
        <v>279</v>
      </c>
      <c r="B94" s="9" t="s">
        <v>304</v>
      </c>
      <c r="C94" s="9">
        <v>988112233</v>
      </c>
      <c r="D94" s="9">
        <v>2000000</v>
      </c>
      <c r="E94" s="9" t="s">
        <v>186</v>
      </c>
      <c r="F94" s="11">
        <v>30000</v>
      </c>
      <c r="G94" s="9" t="s">
        <v>184</v>
      </c>
      <c r="H94">
        <f t="shared" si="2"/>
        <v>100000</v>
      </c>
      <c r="I94" s="12">
        <f t="shared" si="3"/>
        <v>1870000</v>
      </c>
    </row>
    <row r="95" spans="1:9" x14ac:dyDescent="0.2">
      <c r="A95" s="9" t="s">
        <v>280</v>
      </c>
      <c r="B95" s="9" t="s">
        <v>305</v>
      </c>
      <c r="C95" s="9">
        <v>900334455</v>
      </c>
      <c r="D95" s="9">
        <v>500000</v>
      </c>
      <c r="E95" s="9" t="s">
        <v>183</v>
      </c>
      <c r="F95" s="11">
        <v>15000</v>
      </c>
      <c r="G95" s="9" t="s">
        <v>187</v>
      </c>
      <c r="H95">
        <f t="shared" si="2"/>
        <v>50000</v>
      </c>
      <c r="I95" s="12">
        <f t="shared" si="3"/>
        <v>435000</v>
      </c>
    </row>
    <row r="96" spans="1:9" x14ac:dyDescent="0.2">
      <c r="A96" s="9" t="s">
        <v>281</v>
      </c>
      <c r="B96" s="9" t="s">
        <v>306</v>
      </c>
      <c r="C96" s="9">
        <v>977665544</v>
      </c>
      <c r="D96" s="9">
        <v>1500000</v>
      </c>
      <c r="E96" s="9"/>
      <c r="F96" s="11">
        <v>30000</v>
      </c>
      <c r="G96" s="9" t="s">
        <v>184</v>
      </c>
      <c r="H96">
        <f t="shared" si="2"/>
        <v>0</v>
      </c>
      <c r="I96" s="12">
        <f t="shared" si="3"/>
        <v>1470000</v>
      </c>
    </row>
    <row r="97" spans="1:9" x14ac:dyDescent="0.2">
      <c r="A97" s="9" t="s">
        <v>282</v>
      </c>
      <c r="B97" s="9" t="s">
        <v>307</v>
      </c>
      <c r="C97" s="9">
        <v>944778899</v>
      </c>
      <c r="D97" s="9">
        <v>2000000</v>
      </c>
      <c r="E97" s="9" t="s">
        <v>186</v>
      </c>
      <c r="F97" s="11">
        <v>15000</v>
      </c>
      <c r="G97" s="9" t="s">
        <v>189</v>
      </c>
      <c r="H97">
        <f t="shared" si="2"/>
        <v>100000</v>
      </c>
      <c r="I97" s="12">
        <f t="shared" si="3"/>
        <v>1885000</v>
      </c>
    </row>
    <row r="98" spans="1:9" x14ac:dyDescent="0.2">
      <c r="A98" s="9" t="s">
        <v>283</v>
      </c>
      <c r="B98" s="9" t="s">
        <v>308</v>
      </c>
      <c r="C98" s="9">
        <v>911556677</v>
      </c>
      <c r="D98" s="9">
        <v>500000</v>
      </c>
      <c r="E98" s="9" t="s">
        <v>183</v>
      </c>
      <c r="F98" s="11">
        <v>30000</v>
      </c>
      <c r="G98" s="9" t="s">
        <v>184</v>
      </c>
      <c r="H98">
        <f t="shared" si="2"/>
        <v>50000</v>
      </c>
      <c r="I98" s="12">
        <f t="shared" si="3"/>
        <v>420000</v>
      </c>
    </row>
    <row r="99" spans="1:9" x14ac:dyDescent="0.2">
      <c r="A99" s="9" t="s">
        <v>284</v>
      </c>
      <c r="B99" s="9" t="s">
        <v>309</v>
      </c>
      <c r="C99" s="9">
        <v>933889900</v>
      </c>
      <c r="D99" s="9">
        <v>1500000</v>
      </c>
      <c r="E99" s="9"/>
      <c r="F99" s="11">
        <v>15000</v>
      </c>
      <c r="G99" s="9" t="s">
        <v>184</v>
      </c>
      <c r="H99">
        <f t="shared" si="2"/>
        <v>0</v>
      </c>
      <c r="I99" s="12">
        <f t="shared" si="3"/>
        <v>1485000</v>
      </c>
    </row>
    <row r="100" spans="1:9" x14ac:dyDescent="0.2">
      <c r="A100" s="9" t="s">
        <v>285</v>
      </c>
      <c r="B100" s="9" t="s">
        <v>310</v>
      </c>
      <c r="C100" s="9">
        <v>966112233</v>
      </c>
      <c r="D100" s="9">
        <v>2000000</v>
      </c>
      <c r="E100" s="9" t="s">
        <v>186</v>
      </c>
      <c r="F100" s="11">
        <v>30000</v>
      </c>
      <c r="G100" s="9" t="s">
        <v>187</v>
      </c>
      <c r="H100">
        <f t="shared" si="2"/>
        <v>100000</v>
      </c>
      <c r="I100" s="12">
        <f t="shared" si="3"/>
        <v>1870000</v>
      </c>
    </row>
    <row r="101" spans="1:9" x14ac:dyDescent="0.2">
      <c r="A101" s="9" t="s">
        <v>286</v>
      </c>
      <c r="B101" s="9" t="s">
        <v>311</v>
      </c>
      <c r="C101" s="9">
        <v>922445566</v>
      </c>
      <c r="D101" s="9">
        <v>500000</v>
      </c>
      <c r="E101" s="9" t="s">
        <v>183</v>
      </c>
      <c r="F101" s="11">
        <v>15000</v>
      </c>
      <c r="G101" s="9" t="s">
        <v>184</v>
      </c>
      <c r="H101">
        <f t="shared" si="2"/>
        <v>50000</v>
      </c>
      <c r="I101" s="12">
        <f t="shared" si="3"/>
        <v>435000</v>
      </c>
    </row>
    <row r="102" spans="1:9" x14ac:dyDescent="0.2">
      <c r="F102"/>
    </row>
    <row r="103" spans="1:9" x14ac:dyDescent="0.2">
      <c r="D103" s="14" t="s">
        <v>314</v>
      </c>
      <c r="E103" s="14"/>
      <c r="F103" s="12">
        <f>SUM(F2:F101)</f>
        <v>2250000</v>
      </c>
    </row>
    <row r="104" spans="1:9" x14ac:dyDescent="0.2">
      <c r="F104"/>
    </row>
    <row r="105" spans="1:9" x14ac:dyDescent="0.2">
      <c r="F105"/>
    </row>
    <row r="106" spans="1:9" x14ac:dyDescent="0.2">
      <c r="F106"/>
    </row>
    <row r="107" spans="1:9" x14ac:dyDescent="0.2">
      <c r="F107"/>
    </row>
    <row r="108" spans="1:9" x14ac:dyDescent="0.2">
      <c r="F108"/>
    </row>
    <row r="109" spans="1:9" x14ac:dyDescent="0.2">
      <c r="F109"/>
    </row>
    <row r="110" spans="1:9" x14ac:dyDescent="0.2">
      <c r="F110"/>
    </row>
    <row r="111" spans="1:9" x14ac:dyDescent="0.2">
      <c r="F111"/>
    </row>
    <row r="112" spans="1:9" x14ac:dyDescent="0.2">
      <c r="F112"/>
    </row>
    <row r="113" spans="6:6" x14ac:dyDescent="0.2">
      <c r="F113"/>
    </row>
    <row r="114" spans="6:6" x14ac:dyDescent="0.2">
      <c r="F114"/>
    </row>
    <row r="115" spans="6:6" x14ac:dyDescent="0.2">
      <c r="F115"/>
    </row>
    <row r="116" spans="6:6" x14ac:dyDescent="0.2">
      <c r="F116"/>
    </row>
    <row r="117" spans="6:6" x14ac:dyDescent="0.2">
      <c r="F117"/>
    </row>
    <row r="118" spans="6:6" x14ac:dyDescent="0.2">
      <c r="F118"/>
    </row>
    <row r="119" spans="6:6" x14ac:dyDescent="0.2">
      <c r="F119"/>
    </row>
    <row r="120" spans="6:6" x14ac:dyDescent="0.2">
      <c r="F120"/>
    </row>
    <row r="121" spans="6:6" x14ac:dyDescent="0.2">
      <c r="F121"/>
    </row>
    <row r="122" spans="6:6" x14ac:dyDescent="0.2">
      <c r="F122"/>
    </row>
  </sheetData>
  <autoFilter ref="G1:G122" xr:uid="{2718DD4E-77FC-3D40-B1F4-9FA1B5EEF6DB}"/>
  <mergeCells count="2">
    <mergeCell ref="D103:E103"/>
    <mergeCell ref="L6:N6"/>
  </mergeCells>
  <conditionalFormatting sqref="A1:A101 A12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BTTH5</vt:lpstr>
      <vt:lpstr>BTTH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2026-01-21T02:46:16Z</dcterms:created>
  <dcterms:modified xsi:type="dcterms:W3CDTF">2026-01-21T13:10:34Z</dcterms:modified>
</cp:coreProperties>
</file>